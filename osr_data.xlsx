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afa56b1fd184c5/Documents/counties modelling/"/>
    </mc:Choice>
  </mc:AlternateContent>
  <xr:revisionPtr revIDLastSave="3" documentId="8_{503CBE0F-4CA5-4C6D-BE74-16E90C34FE0E}" xr6:coauthVersionLast="47" xr6:coauthVersionMax="47" xr10:uidLastSave="{F09E7406-A22E-40F6-ACB7-68A3893A0B3B}"/>
  <bookViews>
    <workbookView xWindow="-110" yWindow="-110" windowWidth="19420" windowHeight="10300" xr2:uid="{00000000-000D-0000-FFFF-FFFF00000000}"/>
  </bookViews>
  <sheets>
    <sheet name="Panel Data_OSR Stream_Activity" sheetId="2" r:id="rId1"/>
    <sheet name="shares" sheetId="9" r:id="rId2"/>
    <sheet name="Baringo" sheetId="3" r:id="rId3"/>
    <sheet name="Kajiado" sheetId="5" r:id="rId4"/>
    <sheet name="West Pokot" sheetId="6" r:id="rId5"/>
    <sheet name="Taita Taveta" sheetId="7" r:id="rId6"/>
    <sheet name="Makueni" sheetId="8" r:id="rId7"/>
  </sheets>
  <definedNames>
    <definedName name="_xlnm._FilterDatabase" localSheetId="2" hidden="1">Baringo!$A$1:$AR$8</definedName>
    <definedName name="_xlnm._FilterDatabase" localSheetId="0" hidden="1">'Panel Data_OSR Stream_Activity'!$A$1:$ACK$317</definedName>
    <definedName name="v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" i="8" l="1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AA11" i="8"/>
  <c r="BE5" i="8"/>
  <c r="BE6" i="8"/>
  <c r="BE7" i="8"/>
  <c r="BE8" i="8"/>
  <c r="BE9" i="8"/>
  <c r="BE4" i="8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AA11" i="7"/>
  <c r="BX5" i="7"/>
  <c r="BX6" i="7"/>
  <c r="BX7" i="7"/>
  <c r="BX8" i="7"/>
  <c r="BX9" i="7"/>
  <c r="BX10" i="7"/>
  <c r="BX4" i="7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A11" i="6"/>
  <c r="AU3" i="6"/>
  <c r="AU4" i="6"/>
  <c r="AU5" i="6"/>
  <c r="AU6" i="6"/>
  <c r="AU7" i="6"/>
  <c r="AU8" i="6"/>
  <c r="AU2" i="6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S9" i="8"/>
  <c r="AT9" i="8"/>
  <c r="AU9" i="8"/>
  <c r="AV9" i="8"/>
  <c r="AW9" i="8"/>
  <c r="AX9" i="8"/>
  <c r="AY9" i="8"/>
  <c r="AZ9" i="8"/>
  <c r="BA9" i="8"/>
  <c r="BB9" i="8"/>
  <c r="BC9" i="8"/>
  <c r="BD9" i="8"/>
  <c r="AA9" i="8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AA9" i="7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A9" i="6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B10" i="3"/>
  <c r="AA10" i="3"/>
  <c r="AS7" i="3"/>
  <c r="AS8" i="3"/>
  <c r="AS6" i="3"/>
  <c r="AR7" i="8" l="1"/>
  <c r="AR4" i="8"/>
  <c r="AR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 MOKAYA OMWENGA</author>
  </authors>
  <commentList>
    <comment ref="EP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WALTER MOKAYA OMWENGA:</t>
        </r>
        <r>
          <rPr>
            <sz val="9"/>
            <color indexed="81"/>
            <rFont val="Tahoma"/>
            <family val="2"/>
          </rPr>
          <t xml:space="preserve">
Overpayment recovery</t>
        </r>
      </text>
    </comment>
  </commentList>
</comments>
</file>

<file path=xl/sharedStrings.xml><?xml version="1.0" encoding="utf-8"?>
<sst xmlns="http://schemas.openxmlformats.org/spreadsheetml/2006/main" count="1794" uniqueCount="787">
  <si>
    <t>Market kiosk Rent</t>
  </si>
  <si>
    <t>Business Permit</t>
  </si>
  <si>
    <t>market /trade centre fee</t>
  </si>
  <si>
    <t>Building Plan approval fee</t>
  </si>
  <si>
    <t>Agricultural cesses</t>
  </si>
  <si>
    <t>Sand ,Gravel and ballast extractions</t>
  </si>
  <si>
    <t>Livestock Cess</t>
  </si>
  <si>
    <t>Rent of Government build. &amp; housing</t>
  </si>
  <si>
    <t>Advertising fee</t>
  </si>
  <si>
    <t>Street parking fee</t>
  </si>
  <si>
    <t>Vehicle parking fee</t>
  </si>
  <si>
    <t>Application /Renewals</t>
  </si>
  <si>
    <t>Liquor Licence fee</t>
  </si>
  <si>
    <t>Other Miscellaneous fee</t>
  </si>
  <si>
    <t>Receipt from admin.fees and charges</t>
  </si>
  <si>
    <t>Facility improvement fund(A.I.A)</t>
  </si>
  <si>
    <t>Land rates /plot rent</t>
  </si>
  <si>
    <t>Livestock movement permit</t>
  </si>
  <si>
    <t>public health facilities operation fee</t>
  </si>
  <si>
    <t xml:space="preserve">                                   -   </t>
  </si>
  <si>
    <t> -</t>
  </si>
  <si>
    <t>Forest material cess</t>
  </si>
  <si>
    <t>County</t>
  </si>
  <si>
    <t>Year</t>
  </si>
  <si>
    <t>Nominal_GCP</t>
  </si>
  <si>
    <t>Agriculture, forestry and fishing</t>
  </si>
  <si>
    <t>Mining and quarrying</t>
  </si>
  <si>
    <t>Manufacturing</t>
  </si>
  <si>
    <t xml:space="preserve">Electricity supply </t>
  </si>
  <si>
    <t>Water Supply; Waste
Collection</t>
  </si>
  <si>
    <t>Construction</t>
  </si>
  <si>
    <t>Wholesale &amp; Retail
Trade; Repair of Motor
Vehicle</t>
  </si>
  <si>
    <t>Transport &amp; Storage</t>
  </si>
  <si>
    <t xml:space="preserve">Accommodation &amp;
Food Service Activities
</t>
  </si>
  <si>
    <t xml:space="preserve">
Information &amp; Communication</t>
  </si>
  <si>
    <t>Financial &amp; Insurance Activities</t>
  </si>
  <si>
    <t>Real Estate Activities</t>
  </si>
  <si>
    <t>Professional &amp; Technical Services</t>
  </si>
  <si>
    <t>Adminsitrative Support Services</t>
  </si>
  <si>
    <t>Public Administration &amp; Defence</t>
  </si>
  <si>
    <t>Education</t>
  </si>
  <si>
    <t>Human Health &amp; Social
Workers</t>
  </si>
  <si>
    <t>Other Service Activities</t>
  </si>
  <si>
    <t>Financial Service
 Indirectly Measured</t>
  </si>
  <si>
    <t>Population</t>
  </si>
  <si>
    <t>Working Population</t>
  </si>
  <si>
    <t>Land (km^2)</t>
  </si>
  <si>
    <t>County_revenue</t>
  </si>
  <si>
    <t>Game Park Fees</t>
  </si>
  <si>
    <t>Animal Stock Sale Fees</t>
  </si>
  <si>
    <t>Produce &amp; Other Cess</t>
  </si>
  <si>
    <t>Single Business Permit</t>
  </si>
  <si>
    <t>Plot Rent/ Rates</t>
  </si>
  <si>
    <t xml:space="preserve">County Housing </t>
  </si>
  <si>
    <t>Market Fees &amp; Others</t>
  </si>
  <si>
    <t xml:space="preserve">Parking Fees </t>
  </si>
  <si>
    <t xml:space="preserve">Advertising &amp; Promotions </t>
  </si>
  <si>
    <t>Physical Planning &amp; Development</t>
  </si>
  <si>
    <t>Public Health Licences</t>
  </si>
  <si>
    <t xml:space="preserve">Veterinery </t>
  </si>
  <si>
    <t xml:space="preserve">Weights &amp; Measures </t>
  </si>
  <si>
    <t>Liquor Licenses</t>
  </si>
  <si>
    <t>Koibatek ATC</t>
  </si>
  <si>
    <t xml:space="preserve">Marigat AMS </t>
  </si>
  <si>
    <t>Hire of County Machinery</t>
  </si>
  <si>
    <t xml:space="preserve">Hospital Revenue </t>
  </si>
  <si>
    <t>Agri-Business</t>
  </si>
  <si>
    <t>Embomos Tea Farm</t>
  </si>
  <si>
    <t>Meat Inspection Fee</t>
  </si>
  <si>
    <t>Movement Permit</t>
  </si>
  <si>
    <t>Slaughter Fee</t>
  </si>
  <si>
    <t>Produce Cess</t>
  </si>
  <si>
    <t>Stock Sales</t>
  </si>
  <si>
    <t>Tractor Services</t>
  </si>
  <si>
    <t>Vet Services</t>
  </si>
  <si>
    <t>Audit Fee</t>
  </si>
  <si>
    <t>Impounding Charges</t>
  </si>
  <si>
    <t>Liquor Licence</t>
  </si>
  <si>
    <t>Liquor Application Fee</t>
  </si>
  <si>
    <t>Fire Safety Certificate</t>
  </si>
  <si>
    <t>Public Health Fee (Medical Certificates &amp; Inspection)</t>
  </si>
  <si>
    <t>Food Hygiene Licence</t>
  </si>
  <si>
    <t>Siongiroi Health Centre</t>
  </si>
  <si>
    <t>Sigor Sub-County Hospital</t>
  </si>
  <si>
    <t>Kapkoros Health centre</t>
  </si>
  <si>
    <t>Cheptalal Hospital</t>
  </si>
  <si>
    <t>Ndanai Dispensary</t>
  </si>
  <si>
    <t>Longisa County Referral hospital</t>
  </si>
  <si>
    <t>Other health facilities</t>
  </si>
  <si>
    <t>Boda Boda Stickers</t>
  </si>
  <si>
    <t>Bus Park Fee</t>
  </si>
  <si>
    <t>Parking Fee</t>
  </si>
  <si>
    <t>Hire of Equipments</t>
  </si>
  <si>
    <t>Reserved Parking Fee</t>
  </si>
  <si>
    <t>Disposal of Assets</t>
  </si>
  <si>
    <t>Group Registration Fee</t>
  </si>
  <si>
    <t>Library Service Fee</t>
  </si>
  <si>
    <t>Billboard/Sign Post</t>
  </si>
  <si>
    <t>Building Plan Approval</t>
  </si>
  <si>
    <t xml:space="preserve">Plot Clearance Fee </t>
  </si>
  <si>
    <t>Plot Transfer Fee</t>
  </si>
  <si>
    <t>Survey Fee</t>
  </si>
  <si>
    <t>House Rent</t>
  </si>
  <si>
    <t>Stall Rent</t>
  </si>
  <si>
    <t>Town/Plot/Land Rates/Rent</t>
  </si>
  <si>
    <t>Chemai Estate</t>
  </si>
  <si>
    <t>Sotik Tea company ltd</t>
  </si>
  <si>
    <t>James Finlay (LR)</t>
  </si>
  <si>
    <t>Williamson Tea (k) Ltd</t>
  </si>
  <si>
    <t>Kipsigis Higland (LR)</t>
  </si>
  <si>
    <t>Raphael Kitur</t>
  </si>
  <si>
    <t>Ekattera Tea</t>
  </si>
  <si>
    <t>Solid Waste Management Fee</t>
  </si>
  <si>
    <t>Cemetery Fee</t>
  </si>
  <si>
    <t>Hire of Equipments in Lands</t>
  </si>
  <si>
    <t>Quarry Cess</t>
  </si>
  <si>
    <t>NEMA Fee</t>
  </si>
  <si>
    <t>Single Business Permit Fee</t>
  </si>
  <si>
    <t>S.B.P Application Fee</t>
  </si>
  <si>
    <t>S.B.P Penalty Fee</t>
  </si>
  <si>
    <t>Kiosk Cess</t>
  </si>
  <si>
    <t>Market Dues</t>
  </si>
  <si>
    <t>Sales &amp; Promotion</t>
  </si>
  <si>
    <t>Verification of Scales</t>
  </si>
  <si>
    <t>Production of goods and service by Tvet</t>
  </si>
  <si>
    <t>Hire of Stadium</t>
  </si>
  <si>
    <t>Land Rates</t>
  </si>
  <si>
    <t>Single Business Permits</t>
  </si>
  <si>
    <t>Alcohol drinks licences</t>
  </si>
  <si>
    <t>Renewal fees</t>
  </si>
  <si>
    <t xml:space="preserve">Application fees  </t>
  </si>
  <si>
    <t>Cheque Clearance fees</t>
  </si>
  <si>
    <t>Conservancy fees</t>
  </si>
  <si>
    <t>Fire Fighting</t>
  </si>
  <si>
    <t>Advertisement fees</t>
  </si>
  <si>
    <t>Food and Drugs Permit</t>
  </si>
  <si>
    <t>Change of user fees</t>
  </si>
  <si>
    <t>Parking fees</t>
  </si>
  <si>
    <t>Bodaboda parking</t>
  </si>
  <si>
    <t>Burial Fees</t>
  </si>
  <si>
    <t>Stadium Hire</t>
  </si>
  <si>
    <t>Miscelleneous Income</t>
  </si>
  <si>
    <t>Plan Approval</t>
  </si>
  <si>
    <t>Inspection fee</t>
  </si>
  <si>
    <t>Technical services</t>
  </si>
  <si>
    <t>Ground Rent</t>
  </si>
  <si>
    <t>Market fees</t>
  </si>
  <si>
    <t>Enclosed Bus Park Fee</t>
  </si>
  <si>
    <t>Slaughter fee</t>
  </si>
  <si>
    <t>Plot transfer</t>
  </si>
  <si>
    <t>Change of Business name</t>
  </si>
  <si>
    <t>Physical  Planning</t>
  </si>
  <si>
    <t>Penalty</t>
  </si>
  <si>
    <t>Cess</t>
  </si>
  <si>
    <t>Impound Charges</t>
  </si>
  <si>
    <t>Tender document sale</t>
  </si>
  <si>
    <t>Sand Harvest fee</t>
  </si>
  <si>
    <t>Market shops rent</t>
  </si>
  <si>
    <t>Other charges</t>
  </si>
  <si>
    <t>Consent to charge</t>
  </si>
  <si>
    <t>Clearence certificate</t>
  </si>
  <si>
    <t>Extension of lease</t>
  </si>
  <si>
    <t>Survey fees $ Beacon search</t>
  </si>
  <si>
    <t>Payroll by-product</t>
  </si>
  <si>
    <t>Refund for Overpayment</t>
  </si>
  <si>
    <t>Imprest recovery</t>
  </si>
  <si>
    <t>Hire of Machinery of Roads</t>
  </si>
  <si>
    <t>Weights and Measures</t>
  </si>
  <si>
    <t>Agriculture 1. Mabanga 30%</t>
  </si>
  <si>
    <t xml:space="preserve">                     2. Sale of Farm produce</t>
  </si>
  <si>
    <t xml:space="preserve">                     3. Hospitality service</t>
  </si>
  <si>
    <t xml:space="preserve">                     4. Accomodation facilities</t>
  </si>
  <si>
    <t>Salary Recovery</t>
  </si>
  <si>
    <t>Occupational Certificate</t>
  </si>
  <si>
    <t>Cooperative Audit Fee</t>
  </si>
  <si>
    <t>Fisheries</t>
  </si>
  <si>
    <t>Sale of fertilizers</t>
  </si>
  <si>
    <t>consolidated AIA</t>
  </si>
  <si>
    <t>Duplicate Permit</t>
  </si>
  <si>
    <t>Pulping</t>
  </si>
  <si>
    <t>Certificate of compliance</t>
  </si>
  <si>
    <t>Noise pollution</t>
  </si>
  <si>
    <t>Property Sub-division</t>
  </si>
  <si>
    <t>FIRE SAFETY</t>
  </si>
  <si>
    <t>APPLICATION / TENDER</t>
  </si>
  <si>
    <t>APPROVAL / TRANSFER FEES</t>
  </si>
  <si>
    <t>IMPOUNDING/CLAMP. FEES</t>
  </si>
  <si>
    <t>REC. OF INTREST &amp; PRINC.</t>
  </si>
  <si>
    <t>SUGAR CANE CESS</t>
  </si>
  <si>
    <t>TRANSIST PRODUCE CESS</t>
  </si>
  <si>
    <t>TOBACCO CESS</t>
  </si>
  <si>
    <t>FISH CESS</t>
  </si>
  <si>
    <t>TRACTOR HIRE SERVICES</t>
  </si>
  <si>
    <t>AGRI. TRAINING COLLEGE</t>
  </si>
  <si>
    <t>VETERINARY SERVICES</t>
  </si>
  <si>
    <t>STOCK SALE</t>
  </si>
  <si>
    <t>FISH TRADERS LICENCE</t>
  </si>
  <si>
    <t>FISH MOVEMENT PERMIT</t>
  </si>
  <si>
    <t>REG. OF BOATS LICENSE</t>
  </si>
  <si>
    <t>FISHERMAN'S LICENSE</t>
  </si>
  <si>
    <t>WAKHUNGU FISH FARM</t>
  </si>
  <si>
    <t>FISH IMPORT PERMIT</t>
  </si>
  <si>
    <t>CAGE LICENSE</t>
  </si>
  <si>
    <t>FINGERLING SALE</t>
  </si>
  <si>
    <t>SLAUGHTER FEES</t>
  </si>
  <si>
    <t>HIRE OF HALL / OFFICE</t>
  </si>
  <si>
    <t>LIQOUR LICENSE</t>
  </si>
  <si>
    <t xml:space="preserve">GROUP REGISTRATION  </t>
  </si>
  <si>
    <t>TOURISM</t>
  </si>
  <si>
    <t>EDU. &amp; VOC. TRAINING</t>
  </si>
  <si>
    <t>REGISTRATION OF ECD</t>
  </si>
  <si>
    <t>NURSERY FEES</t>
  </si>
  <si>
    <t>MORTUARY FEES</t>
  </si>
  <si>
    <t>HOSPITAL USER FEES</t>
  </si>
  <si>
    <t>PUBLIC HEALTH</t>
  </si>
  <si>
    <t>HEALTH SECTOR FUND</t>
  </si>
  <si>
    <t xml:space="preserve">LAND SUB-DIVISION </t>
  </si>
  <si>
    <t>ADVERTISEMENT</t>
  </si>
  <si>
    <t>CILOR</t>
  </si>
  <si>
    <t>LAND RATES</t>
  </si>
  <si>
    <t>LAND RATES (ARREARS)</t>
  </si>
  <si>
    <t>PLOT RENT</t>
  </si>
  <si>
    <t>PLOT RENT ARREARS</t>
  </si>
  <si>
    <t>PRIVATE RENT. DOMESTIC</t>
  </si>
  <si>
    <t>PRIVATE RENT. COMMERCIAL</t>
  </si>
  <si>
    <t>RENT/GOV HOUSES</t>
  </si>
  <si>
    <t>APPLICATION OF PLANS</t>
  </si>
  <si>
    <t>TITLE DEEDS, REG OF DOCU</t>
  </si>
  <si>
    <t>BUILDING PLANS APPROVAL</t>
  </si>
  <si>
    <t>TRAILER PARKING  FEES</t>
  </si>
  <si>
    <t>BUS PARKING FEES</t>
  </si>
  <si>
    <t>RESERVED /R/PARKING</t>
  </si>
  <si>
    <t>MOTOR CYCLE FEES</t>
  </si>
  <si>
    <t>AGRI. MACH. SERVICE</t>
  </si>
  <si>
    <t>SOLID WASTE</t>
  </si>
  <si>
    <t>SAND CESS</t>
  </si>
  <si>
    <t>TIMBER CESS</t>
  </si>
  <si>
    <t>QUARRY CESS</t>
  </si>
  <si>
    <t>BUSIA HILLS WATER SUPPLY</t>
  </si>
  <si>
    <t>BUSIJO WATER SUPPLY</t>
  </si>
  <si>
    <t>ALEMA WATER SUPPLY</t>
  </si>
  <si>
    <t>MUNANA WATER SUPPLY</t>
  </si>
  <si>
    <t>BUTULA WATER SUPPLY</t>
  </si>
  <si>
    <t>PORT VICT. WATER SUPPLY</t>
  </si>
  <si>
    <t>NOISE</t>
  </si>
  <si>
    <t>WATER BOOSER</t>
  </si>
  <si>
    <t>SINGLE BUSINESS PERMIT</t>
  </si>
  <si>
    <t>MARKET STALL / KIOSK</t>
  </si>
  <si>
    <t>CHARCOAL FEES</t>
  </si>
  <si>
    <t>MARKETS FEES</t>
  </si>
  <si>
    <t>WEGHTS &amp; MEASURES</t>
  </si>
  <si>
    <t>CO-OP. AUDIT FEES</t>
  </si>
  <si>
    <t>INSURANCE</t>
  </si>
  <si>
    <t xml:space="preserve"> MISCELLANEOUS</t>
  </si>
  <si>
    <t>OTHER MISCELLANEOUS</t>
  </si>
  <si>
    <t>A.I.A (Health facilicies) transferred to exchequer</t>
  </si>
  <si>
    <t>Land rates / leases</t>
  </si>
  <si>
    <t>permit fees</t>
  </si>
  <si>
    <t>Agricultural Cess</t>
  </si>
  <si>
    <t>Plot rents</t>
  </si>
  <si>
    <t>Plot Administrative services fees</t>
  </si>
  <si>
    <t>County's natural resources exploitation</t>
  </si>
  <si>
    <t>Market / Trade centre fees</t>
  </si>
  <si>
    <t>Vehicle parking fees</t>
  </si>
  <si>
    <t>Liquor Licences</t>
  </si>
  <si>
    <t>Slaughter houses administration</t>
  </si>
  <si>
    <t>beacon search pointing fees</t>
  </si>
  <si>
    <t>Survey Fees</t>
  </si>
  <si>
    <t>building plan preparation fee (PPI Forms)</t>
  </si>
  <si>
    <t>Building Plan appv. Fees</t>
  </si>
  <si>
    <t>building plan approval fee</t>
  </si>
  <si>
    <t>Building Inspection Fee</t>
  </si>
  <si>
    <t>wayleave fees</t>
  </si>
  <si>
    <t>sign boards &amp; advertisements fee</t>
  </si>
  <si>
    <t>House Stalls</t>
  </si>
  <si>
    <t>Market Fees</t>
  </si>
  <si>
    <t>Buspark</t>
  </si>
  <si>
    <t>Street Parking</t>
  </si>
  <si>
    <t>Subdivision</t>
  </si>
  <si>
    <t>Enforcement</t>
  </si>
  <si>
    <t>Building Plan</t>
  </si>
  <si>
    <t>Admn. Fees</t>
  </si>
  <si>
    <t>Advert Fees</t>
  </si>
  <si>
    <t>Slaughter Hse Fees</t>
  </si>
  <si>
    <t>Miscellenious Revenue</t>
  </si>
  <si>
    <t>Weights</t>
  </si>
  <si>
    <t>Liquor</t>
  </si>
  <si>
    <t>Users Fees For Social Halls</t>
  </si>
  <si>
    <t>Youth Empowerment</t>
  </si>
  <si>
    <t>Gender</t>
  </si>
  <si>
    <t>Embu-Level 5</t>
  </si>
  <si>
    <t>Runyenjes Hospital</t>
  </si>
  <si>
    <t>Siakago Hospital</t>
  </si>
  <si>
    <t>Ishiara Hospital</t>
  </si>
  <si>
    <t>Kianjokoma Hospital</t>
  </si>
  <si>
    <t>Karurumo Rhtc</t>
  </si>
  <si>
    <t>Kiritiri Health C</t>
  </si>
  <si>
    <t>Level 3 Hospitals</t>
  </si>
  <si>
    <t>Level 2 Hospitals</t>
  </si>
  <si>
    <t>Public Health</t>
  </si>
  <si>
    <t>P.H.O Embu West Manyatta</t>
  </si>
  <si>
    <t>P.H.O. Mbeere North.Mbeere</t>
  </si>
  <si>
    <t>P.H.O. Mbeere South Kiritiri</t>
  </si>
  <si>
    <t>P.H O Embu East Runyenjes</t>
  </si>
  <si>
    <t>Veterinary</t>
  </si>
  <si>
    <t>Ams</t>
  </si>
  <si>
    <t>BUSINESS PERMITS</t>
  </si>
  <si>
    <t xml:space="preserve"> CESSES</t>
  </si>
  <si>
    <t xml:space="preserve"> PLOT RENTS</t>
  </si>
  <si>
    <t>MISCELLANEOUS FEES &amp; CHARGES</t>
  </si>
  <si>
    <t xml:space="preserve"> VARIOUS FEES</t>
  </si>
  <si>
    <t>COUNCIL'S NATURAL RESOURCES EXPLOITATION</t>
  </si>
  <si>
    <t xml:space="preserve"> SALES OF COUNCIL ASSETS</t>
  </si>
  <si>
    <t xml:space="preserve"> LEASE / RENTAL OF COUNCIL'S INFRASTRUCTURE ASSETS</t>
  </si>
  <si>
    <t>Council Vehicles Hire - AMS</t>
  </si>
  <si>
    <t xml:space="preserve"> Market Entrance / Gate Fee</t>
  </si>
  <si>
    <t>Market Stalls Rent</t>
  </si>
  <si>
    <t xml:space="preserve"> Market Shelters Fee</t>
  </si>
  <si>
    <t xml:space="preserve"> Produce Inspection Fee</t>
  </si>
  <si>
    <t>Other Vehicles Enclosed Park/Reserved Fees (Cars, Lorries, etc.)</t>
  </si>
  <si>
    <t xml:space="preserve"> Street Parking/ motorbike/tuktuk/cars etc.</t>
  </si>
  <si>
    <t xml:space="preserve"> Clamping Fee</t>
  </si>
  <si>
    <t>Housing Estates Monthly Rent</t>
  </si>
  <si>
    <t xml:space="preserve"> Training/Learning Centre Fee</t>
  </si>
  <si>
    <t>Food Quality Inspection Fee</t>
  </si>
  <si>
    <t xml:space="preserve"> Health Centres Services Fee/Hospital tranfer</t>
  </si>
  <si>
    <t>Sale of Trees-Seedlings-Firewood-Flowers-Produce, etc. Miraa</t>
  </si>
  <si>
    <t>Slaughtering Fee</t>
  </si>
  <si>
    <t>Slaughter Houses Inspection Fee</t>
  </si>
  <si>
    <t xml:space="preserve"> Exhauster Services Charge</t>
  </si>
  <si>
    <t>OTHER HEALTH &amp; SANITATION REVENUES (DVO)</t>
  </si>
  <si>
    <t xml:space="preserve"> Survey Fee</t>
  </si>
  <si>
    <t xml:space="preserve"> Buildings Plan Approval Fee</t>
  </si>
  <si>
    <t>Right-of-Way / Way-Leave Fee (KPLN, Telkom, etc.)</t>
  </si>
  <si>
    <t>Buildings Inspection Fee</t>
  </si>
  <si>
    <t xml:space="preserve"> Sign Boards &amp; Advertisement/promotion Fee</t>
  </si>
  <si>
    <t>Fire-Fighting Services</t>
  </si>
  <si>
    <t>S.B.P</t>
  </si>
  <si>
    <t>S.B.P Applicaton fee</t>
  </si>
  <si>
    <t>Penalties</t>
  </si>
  <si>
    <t>County Cess</t>
  </si>
  <si>
    <t>Barter Market</t>
  </si>
  <si>
    <t>Occupancy Fee</t>
  </si>
  <si>
    <t xml:space="preserve">weight and measures </t>
  </si>
  <si>
    <t>Tourism</t>
  </si>
  <si>
    <t>Market Stall</t>
  </si>
  <si>
    <t>Co-operative and marketing</t>
  </si>
  <si>
    <t>Quarry Chips</t>
  </si>
  <si>
    <t>Plot Rent</t>
  </si>
  <si>
    <t>Search cert and consent</t>
  </si>
  <si>
    <t>Sewarage</t>
  </si>
  <si>
    <t>Sanitary Inspection Fee</t>
  </si>
  <si>
    <t>Sand Fees</t>
  </si>
  <si>
    <t>Burial Fees/Noise Polution</t>
  </si>
  <si>
    <t>Land Penalty</t>
  </si>
  <si>
    <t>Mortuary fee</t>
  </si>
  <si>
    <t>land rates</t>
  </si>
  <si>
    <t>Ballast Cess</t>
  </si>
  <si>
    <t>Pozzolana Cess</t>
  </si>
  <si>
    <t>Fire Inspection Fee</t>
  </si>
  <si>
    <t>Limestone/royalties</t>
  </si>
  <si>
    <t>Royalties soda ash</t>
  </si>
  <si>
    <t>Others</t>
  </si>
  <si>
    <t>Car Park</t>
  </si>
  <si>
    <t>Motorcycle/matatu Stickers</t>
  </si>
  <si>
    <t>Tuk tuk Sticker</t>
  </si>
  <si>
    <t>Impounding Fee</t>
  </si>
  <si>
    <t>Transit</t>
  </si>
  <si>
    <t>table</t>
  </si>
  <si>
    <t>Delivery</t>
  </si>
  <si>
    <t>taxii</t>
  </si>
  <si>
    <t>Bus Park</t>
  </si>
  <si>
    <t>marketing/ cooperative</t>
  </si>
  <si>
    <t>Change of user</t>
  </si>
  <si>
    <t>Promotion</t>
  </si>
  <si>
    <t>Branding</t>
  </si>
  <si>
    <t>Sign Post Fee/billboards</t>
  </si>
  <si>
    <t>Film and TV documntary</t>
  </si>
  <si>
    <t>Religious meetings</t>
  </si>
  <si>
    <t>flyers Fee</t>
  </si>
  <si>
    <t>Agricultural Produce</t>
  </si>
  <si>
    <t>Livestock Vaccination</t>
  </si>
  <si>
    <t>Sheep/Goat Cess</t>
  </si>
  <si>
    <t>Hides &amp; Skin</t>
  </si>
  <si>
    <t>ATC</t>
  </si>
  <si>
    <t>poultry cess</t>
  </si>
  <si>
    <t>manure cess</t>
  </si>
  <si>
    <t>AMS</t>
  </si>
  <si>
    <t>slaughter Fee</t>
  </si>
  <si>
    <t>Cattle Cess/sale yards</t>
  </si>
  <si>
    <t>Miselenious(Agriculture)</t>
  </si>
  <si>
    <t>Permit fee</t>
  </si>
  <si>
    <t>Health Clearance</t>
  </si>
  <si>
    <t>General Hospital fee</t>
  </si>
  <si>
    <t>occupation certificate</t>
  </si>
  <si>
    <t>Tata Chemicals Magadi</t>
  </si>
  <si>
    <t>water bowser</t>
  </si>
  <si>
    <t>Water supply &amp; admin</t>
  </si>
  <si>
    <t>REGISTRATION OF INSTITUTIONS</t>
  </si>
  <si>
    <t>Social services</t>
  </si>
  <si>
    <t>Liqour license</t>
  </si>
  <si>
    <t>Miselenious(communication)</t>
  </si>
  <si>
    <t>Miselenious(Health)</t>
  </si>
  <si>
    <t>Miselenious(Land)</t>
  </si>
  <si>
    <t>Miselenious(Roads)</t>
  </si>
  <si>
    <t>Miselenious(Trade)</t>
  </si>
  <si>
    <t>Others(Public Health)</t>
  </si>
  <si>
    <t>Manual returns</t>
  </si>
  <si>
    <t>MARKET FEES</t>
  </si>
  <si>
    <t>SBP</t>
  </si>
  <si>
    <t>RATES</t>
  </si>
  <si>
    <t>CESS</t>
  </si>
  <si>
    <t>CESS ON MURRAM</t>
  </si>
  <si>
    <t>SLAUGHTER HOUSE</t>
  </si>
  <si>
    <t xml:space="preserve">BUS PARK </t>
  </si>
  <si>
    <t>STREET PARKING</t>
  </si>
  <si>
    <t>MOTOR BIKE</t>
  </si>
  <si>
    <t xml:space="preserve"> KIOSK FEE</t>
  </si>
  <si>
    <t>GROUND RENT</t>
  </si>
  <si>
    <t>STALL RENT</t>
  </si>
  <si>
    <t>LAND TRANSFER</t>
  </si>
  <si>
    <t>BURIAL FEE</t>
  </si>
  <si>
    <t>IMPOUNDING FEE</t>
  </si>
  <si>
    <t>PLAN APPROVAL</t>
  </si>
  <si>
    <t>SURVEY</t>
  </si>
  <si>
    <t>PUBLIC TOILET</t>
  </si>
  <si>
    <t>REG OF GROUPS</t>
  </si>
  <si>
    <t>NURSERY FEE</t>
  </si>
  <si>
    <t>FIRE COMPLIANCE</t>
  </si>
  <si>
    <t>NOISE CONTROL</t>
  </si>
  <si>
    <t>STOCK SALES</t>
  </si>
  <si>
    <t>BUKHUNGU STAD'</t>
  </si>
  <si>
    <t>HIRE FEE</t>
  </si>
  <si>
    <t>HOUSE RENT</t>
  </si>
  <si>
    <t xml:space="preserve">PUBLIC HEALTH </t>
  </si>
  <si>
    <t>BUKURA ATC</t>
  </si>
  <si>
    <t>VETERINARY SERV'</t>
  </si>
  <si>
    <t>FARM MECHANIZATION</t>
  </si>
  <si>
    <t>SALE OF ASSETS</t>
  </si>
  <si>
    <t>FARM INPUT</t>
  </si>
  <si>
    <t>HEALTH SERVICES</t>
  </si>
  <si>
    <t>RED CROSS</t>
  </si>
  <si>
    <t>NHIF</t>
  </si>
  <si>
    <t>WEIGHTS &amp;MEASURES</t>
  </si>
  <si>
    <t>INTEREST</t>
  </si>
  <si>
    <t>LIQUOR</t>
  </si>
  <si>
    <t>COMMISSION</t>
  </si>
  <si>
    <t>FISH AND POULTRY SUBSIDY</t>
  </si>
  <si>
    <t>CESS ON FACTORY</t>
  </si>
  <si>
    <t>DIRECT CREDITS</t>
  </si>
  <si>
    <t>RECOVERIES</t>
  </si>
  <si>
    <t>DASHBOARD</t>
  </si>
  <si>
    <t>OTHERS</t>
  </si>
  <si>
    <t>Advertisment,Branding   and Billboard  Fees</t>
  </si>
  <si>
    <t>Agriculture  Livestock , Veterinary  Payments  and  Machinery Services.</t>
  </si>
  <si>
    <t>Alcoholic  Drink License Fees</t>
  </si>
  <si>
    <t>Application/Registration Fees</t>
  </si>
  <si>
    <t>Audit Fees</t>
  </si>
  <si>
    <t>Boda Boda Payments</t>
  </si>
  <si>
    <t>Building  Plan Approvals Fees</t>
  </si>
  <si>
    <t>Bus   Park Fees</t>
  </si>
  <si>
    <t>Business Permits Late Payment Penalties, Current Year</t>
  </si>
  <si>
    <t>Car Park Fees</t>
  </si>
  <si>
    <t>Cemetery Fees</t>
  </si>
  <si>
    <t>Clamping, Fines and  Impounding Fees</t>
  </si>
  <si>
    <t>Coffee Fees</t>
  </si>
  <si>
    <t>Education Payment Fee</t>
  </si>
  <si>
    <t>Fire License Fees</t>
  </si>
  <si>
    <t>Forest Cess/Seedling Sale Yard</t>
  </si>
  <si>
    <t>Hire Of Social Hall/Park &amp; Stadium Fees</t>
  </si>
  <si>
    <t>Hospital Payments</t>
  </si>
  <si>
    <t>House  Rent  Fees</t>
  </si>
  <si>
    <t>Inspection  Fees</t>
  </si>
  <si>
    <t>Kabianga Tea  Farm Payments</t>
  </si>
  <si>
    <t>Land  Cultivation Fees</t>
  </si>
  <si>
    <t>Land  and Property Rates  Fees</t>
  </si>
  <si>
    <t>Murram, Ballast , Sand &amp; Scrap Metal Cess Fees</t>
  </si>
  <si>
    <t>Noise Control Fee/Drilling Services</t>
  </si>
  <si>
    <t>Public Health Payments</t>
  </si>
  <si>
    <t>Quarry Stone Cess</t>
  </si>
  <si>
    <t>Refuse Fees</t>
  </si>
  <si>
    <t>Reserved Parking Fees</t>
  </si>
  <si>
    <t>Signages Fees</t>
  </si>
  <si>
    <t>Slaughter House Operation Fees</t>
  </si>
  <si>
    <t>Stockyard Sales  Fees</t>
  </si>
  <si>
    <t>Tea Transport  Cess fees</t>
  </si>
  <si>
    <t>Weights and  Measures Fees</t>
  </si>
  <si>
    <t>Advertisement</t>
  </si>
  <si>
    <t>Betting &amp; Gaming</t>
  </si>
  <si>
    <t>Clamping Fees</t>
  </si>
  <si>
    <t>Conservancy Fees</t>
  </si>
  <si>
    <t>Distribution Permit</t>
  </si>
  <si>
    <t>Cooperatives</t>
  </si>
  <si>
    <t>County Library Services</t>
  </si>
  <si>
    <t>Environment Permits</t>
  </si>
  <si>
    <t>Fire Inspection</t>
  </si>
  <si>
    <t>Hire of Plant and Machinery</t>
  </si>
  <si>
    <t>Hiring of County Halls</t>
  </si>
  <si>
    <t>Hire Services</t>
  </si>
  <si>
    <t>House &amp; Stall Rent</t>
  </si>
  <si>
    <t>Impounding Fees</t>
  </si>
  <si>
    <t xml:space="preserve">Land rates </t>
  </si>
  <si>
    <t>Library services</t>
  </si>
  <si>
    <t>Liquor Permits</t>
  </si>
  <si>
    <t>Livestock Market</t>
  </si>
  <si>
    <t>Market</t>
  </si>
  <si>
    <t>Matatu Stickers</t>
  </si>
  <si>
    <t>Motorbikes</t>
  </si>
  <si>
    <t>Parking</t>
  </si>
  <si>
    <t>Rent Charges for Cold Room (Fisheries)</t>
  </si>
  <si>
    <t>Sacco Management</t>
  </si>
  <si>
    <t>Salary Overpayment</t>
  </si>
  <si>
    <t>Reserved Parking</t>
  </si>
  <si>
    <t>Sale of Fingerings</t>
  </si>
  <si>
    <t>Single Business Permit &amp; Licences</t>
  </si>
  <si>
    <t>Slaughter House Fees</t>
  </si>
  <si>
    <t>Weights &amp; Measures</t>
  </si>
  <si>
    <t xml:space="preserve">Rents </t>
  </si>
  <si>
    <t>Trade license fees</t>
  </si>
  <si>
    <t>Bus Park Fees</t>
  </si>
  <si>
    <t>Parking Fees</t>
  </si>
  <si>
    <t>Reserved slot</t>
  </si>
  <si>
    <t>Monthly Stickers</t>
  </si>
  <si>
    <t>Stock Ring</t>
  </si>
  <si>
    <t>Building Plans</t>
  </si>
  <si>
    <t>Sign Board promotion etc</t>
  </si>
  <si>
    <t>Boda boda</t>
  </si>
  <si>
    <t>Sundry revenue</t>
  </si>
  <si>
    <t>Public Health and Others</t>
  </si>
  <si>
    <t>Training/Learning Centre fee</t>
  </si>
  <si>
    <t>Ploughing</t>
  </si>
  <si>
    <t>Borehole drilling</t>
  </si>
  <si>
    <t>Agricultural Show</t>
  </si>
  <si>
    <t>Agricultural Services Fees</t>
  </si>
  <si>
    <t>Environmental Service Fees</t>
  </si>
  <si>
    <t>Hospital Fees</t>
  </si>
  <si>
    <t>Stadium Hire,social Hall &amp; resource centres</t>
  </si>
  <si>
    <t>Land Administrative fees</t>
  </si>
  <si>
    <t>Licence Fees-Alcoholic drinks</t>
  </si>
  <si>
    <t>Transportation of livestock /sale of leather products</t>
  </si>
  <si>
    <t>County Investments</t>
  </si>
  <si>
    <t>Business Permits</t>
  </si>
  <si>
    <t>Advertising</t>
  </si>
  <si>
    <t>Stalls Rent</t>
  </si>
  <si>
    <t>Transportation fees</t>
  </si>
  <si>
    <t>Slaughter Fees</t>
  </si>
  <si>
    <t>Receipts from Fines, Penalities, Forfeitures and Other Charges</t>
  </si>
  <si>
    <t>SBP FORMS</t>
  </si>
  <si>
    <t>HEALTH CENTRES</t>
  </si>
  <si>
    <t>HOSP- KING FAHAD</t>
  </si>
  <si>
    <t>HOSP- MPEKETONI</t>
  </si>
  <si>
    <t>HOSP. LAMU</t>
  </si>
  <si>
    <t>HOSP FAZA</t>
  </si>
  <si>
    <t>HOSPITALS</t>
  </si>
  <si>
    <t>AGRI- EQUIPMENT &amp; SERVICES</t>
  </si>
  <si>
    <t>LAKE KENYATTA</t>
  </si>
  <si>
    <t>TRAINING/LEARNING CENTRES (ATC)</t>
  </si>
  <si>
    <t>MARKET STALLS RENT</t>
  </si>
  <si>
    <t>FRUITS &amp; VEGETABLES/PRODUCE CESS</t>
  </si>
  <si>
    <t>MEAT INSPECTION FEES</t>
  </si>
  <si>
    <t>AGRICULTURE VEHICLES HIRE (AMS TRACTORS)</t>
  </si>
  <si>
    <t>GEN. REPAIRS</t>
  </si>
  <si>
    <t>SCRAPE METAL</t>
  </si>
  <si>
    <t>OPEN AIR MARKET FEE</t>
  </si>
  <si>
    <t>CHQ.CLEARANCE</t>
  </si>
  <si>
    <t>STALL REVENUE</t>
  </si>
  <si>
    <t>PARKING &amp; TRANSPORT</t>
  </si>
  <si>
    <t>PIKIPIKI</t>
  </si>
  <si>
    <t>AGRICULTURAL PRODUCE</t>
  </si>
  <si>
    <t>SLAUGHTERING FEE</t>
  </si>
  <si>
    <t>PIT LATRINE</t>
  </si>
  <si>
    <t>MIRAA CESS</t>
  </si>
  <si>
    <t>LIVESTOCK CESS</t>
  </si>
  <si>
    <t>ANIMAL MOVT</t>
  </si>
  <si>
    <t>LIVESTOCK AUCTION FEES</t>
  </si>
  <si>
    <t>ARTIFICIAL INSERMINATION</t>
  </si>
  <si>
    <t>STREET PARKING FEE</t>
  </si>
  <si>
    <t>SALES OF FLOWERS,MIRAA,ETC</t>
  </si>
  <si>
    <t>WHEAT&amp;MAIZE CESS</t>
  </si>
  <si>
    <t>SEWER CONNECTION DEPOSIT</t>
  </si>
  <si>
    <t>LOG CESS</t>
  </si>
  <si>
    <t>METER RENT</t>
  </si>
  <si>
    <t xml:space="preserve">VETENARY </t>
  </si>
  <si>
    <t>MEAT INSPECTION</t>
  </si>
  <si>
    <t>FOREST CESS</t>
  </si>
  <si>
    <t>LOCAL QUARRY</t>
  </si>
  <si>
    <t>METAL SCRAP</t>
  </si>
  <si>
    <t xml:space="preserve">SIGN BOARDS &amp; ADVERTISEMENT FEE </t>
  </si>
  <si>
    <t>PLOT SUB DIVISION</t>
  </si>
  <si>
    <t>PHYSICAL PLANNING</t>
  </si>
  <si>
    <t>SAND,GRAVEL,AND BALLAST EXTRACTION FEES</t>
  </si>
  <si>
    <t>FISHERIES LICENCE</t>
  </si>
  <si>
    <t>FISHERIES</t>
  </si>
  <si>
    <t>CERT.OF COMPLIANCE</t>
  </si>
  <si>
    <t>FISHERIES DAILY REVENUE</t>
  </si>
  <si>
    <t>SALES OF VACCINES</t>
  </si>
  <si>
    <t>PROPERTY RATES</t>
  </si>
  <si>
    <t>CLEARANCE CERT.</t>
  </si>
  <si>
    <t>BLDG APPR. FEES</t>
  </si>
  <si>
    <t>LAND REVENUE</t>
  </si>
  <si>
    <t>HIDES AND SKINS FEE</t>
  </si>
  <si>
    <t>MARKET SERVICE CEES</t>
  </si>
  <si>
    <t>WATER DISILATION PLANT</t>
  </si>
  <si>
    <t>DONATIONS</t>
  </si>
  <si>
    <t>COMMISSION EARNED</t>
  </si>
  <si>
    <t>SALARY COMMISION</t>
  </si>
  <si>
    <t xml:space="preserve">OTHERS MISCELLANEOUS  </t>
  </si>
  <si>
    <t xml:space="preserve">LIQUOR </t>
  </si>
  <si>
    <t>MEAT STALL</t>
  </si>
  <si>
    <t>FISH STALL</t>
  </si>
  <si>
    <t>FRUIT STALL</t>
  </si>
  <si>
    <t>TEA RM STALL</t>
  </si>
  <si>
    <t>UPPER STALL</t>
  </si>
  <si>
    <t>MITUMBA STALL</t>
  </si>
  <si>
    <t>DVO</t>
  </si>
  <si>
    <t>UPPER STALL DEPOSIT</t>
  </si>
  <si>
    <t>CULTURE FESTIVAL</t>
  </si>
  <si>
    <t>Business Permits Current Year</t>
  </si>
  <si>
    <t>Land Rates Current Year</t>
  </si>
  <si>
    <t>Street Parking Fee</t>
  </si>
  <si>
    <t>Sign Boards &amp; Advertisement Fee</t>
  </si>
  <si>
    <t>Wheat &amp; Maize Cess</t>
  </si>
  <si>
    <t>Health Centers &amp; Dispensaries Fees</t>
  </si>
  <si>
    <t xml:space="preserve">Housing Estates Monthly Rent </t>
  </si>
  <si>
    <t>Refuse Collection Fee</t>
  </si>
  <si>
    <t>Buildings Plan Approval Fee</t>
  </si>
  <si>
    <t>Motor Bikes</t>
  </si>
  <si>
    <t>Sand, Gravel, and Ballast Extraction Fees</t>
  </si>
  <si>
    <t>Court Fines</t>
  </si>
  <si>
    <t xml:space="preserve">Public Health </t>
  </si>
  <si>
    <t>Conservancy (Eldowas)</t>
  </si>
  <si>
    <t>Application Fee Permit/House</t>
  </si>
  <si>
    <t>Clamping Fee</t>
  </si>
  <si>
    <t>Innoculation Fee</t>
  </si>
  <si>
    <t>Agriculture Vertenary</t>
  </si>
  <si>
    <t>Audit and Supervision Fees</t>
  </si>
  <si>
    <t>Weight and Measures</t>
  </si>
  <si>
    <t>Sale of Type 3 Council Assets</t>
  </si>
  <si>
    <t>Log Cess/ Bark cess</t>
  </si>
  <si>
    <t>Agriculture AMS</t>
  </si>
  <si>
    <t>Sugarcane Cess</t>
  </si>
  <si>
    <t>Betting Control</t>
  </si>
  <si>
    <t>Salary Refund</t>
  </si>
  <si>
    <t>Bar and Restaurant Inspection fee</t>
  </si>
  <si>
    <t>Public Toilet</t>
  </si>
  <si>
    <t>Council Premises Occasional Hire (Offices, etc.)</t>
  </si>
  <si>
    <t>Ict &amp; E-government Led Screen</t>
  </si>
  <si>
    <t>DIRECT BANKING</t>
  </si>
  <si>
    <t>Livestock Auction/Sales Fees</t>
  </si>
  <si>
    <t>Water Kiosks Sales</t>
  </si>
  <si>
    <t>Staff Loan commission</t>
  </si>
  <si>
    <t>Interest From Bank</t>
  </si>
  <si>
    <t>Milk Cess</t>
  </si>
  <si>
    <t>Staff Payroll Surcharge</t>
  </si>
  <si>
    <t xml:space="preserve">Lease of Water Distribution Network </t>
  </si>
  <si>
    <t xml:space="preserve">Fisheries </t>
  </si>
  <si>
    <t>Staff insurance</t>
  </si>
  <si>
    <t>Proceeds from sale of assets</t>
  </si>
  <si>
    <t>Library Fee</t>
  </si>
  <si>
    <t>FINES,PENALITIES AND FORFEITURES</t>
  </si>
  <si>
    <t>UNCLAMPING FEES</t>
  </si>
  <si>
    <t>HIRE OF COUNTY EQUIPMENTS</t>
  </si>
  <si>
    <t>LIVESTOCK AND VETERINARY</t>
  </si>
  <si>
    <t xml:space="preserve">SLAUGHTER HOUSES ADMINISTRATION </t>
  </si>
  <si>
    <t>ADVERTISEMENT/PROMOTION</t>
  </si>
  <si>
    <t xml:space="preserve">SOCIAL PREMISES USE CHARGES </t>
  </si>
  <si>
    <t>HIRE OF STADIUMS</t>
  </si>
  <si>
    <t>ENVIRONMENT &amp; CONSERVANCY</t>
  </si>
  <si>
    <t>PUBLIC TOILET FEES</t>
  </si>
  <si>
    <t>NATURAL RESOURCES EXPLOITATION e.g Blocks</t>
  </si>
  <si>
    <t>EXHAUSTER SERVICES</t>
  </si>
  <si>
    <t>SISAL CESS</t>
  </si>
  <si>
    <t>SALE  OF COUNTY ASSETS</t>
  </si>
  <si>
    <t>AGRICULTURAL CESS</t>
  </si>
  <si>
    <t xml:space="preserve">OTHER LOCAL LEVIES </t>
  </si>
  <si>
    <t>HEALTH-HOSPITALS</t>
  </si>
  <si>
    <t>BURIAL SITE FEES</t>
  </si>
  <si>
    <t>RATES CLEARANCE CERTIFICATE(OTHER PROPERTY INCOME)</t>
  </si>
  <si>
    <t>PLOT TRANSFER FEES</t>
  </si>
  <si>
    <t>OPENING OF FILES</t>
  </si>
  <si>
    <t>SURVEY AND MAPPING</t>
  </si>
  <si>
    <t>MINING CESS(IRON ORE &amp;OTHER MINERALS)</t>
  </si>
  <si>
    <t>APPROVAL OF BUILDING PLANS</t>
  </si>
  <si>
    <t>RENEWAL OF BUILDING PLANS</t>
  </si>
  <si>
    <t xml:space="preserve">ADMINISTRATIVE SERVICE FEES </t>
  </si>
  <si>
    <t>DRAWING PLANS FEES</t>
  </si>
  <si>
    <t>RENOVATION FEES</t>
  </si>
  <si>
    <t>PLOT FENCING FEES</t>
  </si>
  <si>
    <t>SIGNBOARDS</t>
  </si>
  <si>
    <t>VEHICLE PARKING FEE</t>
  </si>
  <si>
    <t>TUKTUK/TAXI/MOTORCYCLE</t>
  </si>
  <si>
    <t>RESERVED PARKING</t>
  </si>
  <si>
    <t xml:space="preserve">TECHNICAL SERVICES FEES </t>
  </si>
  <si>
    <t>LIQUOR LICENCES</t>
  </si>
  <si>
    <t>WEIGHT &amp;MEASURES</t>
  </si>
  <si>
    <t>APPLICATION FOR SBP/RENEWAL</t>
  </si>
  <si>
    <t>MARKET STALLS/SLABS</t>
  </si>
  <si>
    <t>SINGLE BUSINESS PERMITS</t>
  </si>
  <si>
    <t>APPLICATION FOR LIQUOR License</t>
  </si>
  <si>
    <t xml:space="preserve">CO- OPERATIVES   </t>
  </si>
  <si>
    <t xml:space="preserve">COMMUNITY WATER SUPPLY ADMINISTRATION FEES </t>
  </si>
  <si>
    <t>Baringo</t>
  </si>
  <si>
    <t>Bomet</t>
  </si>
  <si>
    <t>Bungoma</t>
  </si>
  <si>
    <t>Busia</t>
  </si>
  <si>
    <t>Elgeyo_Marakwet</t>
  </si>
  <si>
    <t>Embu</t>
  </si>
  <si>
    <t>Isiolo</t>
  </si>
  <si>
    <t>Kajiado</t>
  </si>
  <si>
    <t>Kakamega</t>
  </si>
  <si>
    <t>Kericho</t>
  </si>
  <si>
    <t>Kiambu</t>
  </si>
  <si>
    <t>Kilifi</t>
  </si>
  <si>
    <t>16,14</t>
  </si>
  <si>
    <t>Kirinyanga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</si>
  <si>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</si>
  <si>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</si>
  <si>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</si>
  <si>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</si>
  <si>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</si>
  <si>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</si>
  <si>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</si>
  <si>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</si>
  <si>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</si>
  <si>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</si>
  <si>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</si>
  <si>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</si>
  <si>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</si>
  <si>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</si>
  <si>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</si>
  <si>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</si>
  <si>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</si>
  <si>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</si>
  <si>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</si>
  <si>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</si>
  <si>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</si>
  <si>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</si>
  <si>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</si>
  <si>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</si>
  <si>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</si>
  <si>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</si>
  <si>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Tranzoia</t>
  </si>
  <si>
    <t>Turkana</t>
  </si>
  <si>
    <t>Uasin Gishu</t>
  </si>
  <si>
    <t>Vihiga</t>
  </si>
  <si>
    <t>Wajir</t>
  </si>
  <si>
    <t>West Pokot</t>
  </si>
  <si>
    <t>Advertisement &amp; Wall Branding Fees</t>
  </si>
  <si>
    <t>Agricultural Cess Fees</t>
  </si>
  <si>
    <t>Agriculture- Agricultural Training Conference Fees</t>
  </si>
  <si>
    <t>Agriculture- Mechanization Fees</t>
  </si>
  <si>
    <t>Building Materials cess Fees</t>
  </si>
  <si>
    <t>Community Information Centres Fees</t>
  </si>
  <si>
    <t>Coop Audit services Fees</t>
  </si>
  <si>
    <t>Development Approvals Fees</t>
  </si>
  <si>
    <t>Fines and Penalties Fees</t>
  </si>
  <si>
    <t>Fire certificate Fees</t>
  </si>
  <si>
    <t>Hire of County Facilities / Equipment /Gym Fees</t>
  </si>
  <si>
    <t>Liquor License Fees</t>
  </si>
  <si>
    <t>Makueni Fruit Processing Plant Fees</t>
  </si>
  <si>
    <t>Market Entrance Fees</t>
  </si>
  <si>
    <t>Mast</t>
  </si>
  <si>
    <t>Motor Veh/Cycle Reg Fees</t>
  </si>
  <si>
    <t>Other Revenues(Direct Deposits)</t>
  </si>
  <si>
    <t>Plot Rates/Rent  Fees &amp; other dues</t>
  </si>
  <si>
    <t>Public health Services Fees</t>
  </si>
  <si>
    <t>Renewal Fees(Kiosks)</t>
  </si>
  <si>
    <t>Sand Authority Fees</t>
  </si>
  <si>
    <t>Single Business Permits /Application Fees</t>
  </si>
  <si>
    <t>Stall Rent Fees</t>
  </si>
  <si>
    <t>Stock Market Fees</t>
  </si>
  <si>
    <t>Stock Movement Fees</t>
  </si>
  <si>
    <t>Veterinary Health Fees</t>
  </si>
  <si>
    <t>Water &amp; Environment Fees- Consent, Nema</t>
  </si>
  <si>
    <t>Weights &amp; Measures Fees</t>
  </si>
  <si>
    <t>`</t>
  </si>
  <si>
    <t>Land/Plot Rent</t>
  </si>
  <si>
    <t xml:space="preserve">Vetirinery </t>
  </si>
  <si>
    <t>Advertisment fees</t>
  </si>
  <si>
    <t>Payroll Product</t>
  </si>
  <si>
    <t>Agriculture: Mabanga 30%</t>
  </si>
  <si>
    <t>Occupational  Report</t>
  </si>
  <si>
    <t>Sand Harvet fee</t>
  </si>
  <si>
    <t>Overpayment Recovery</t>
  </si>
  <si>
    <t>Certificate of complince</t>
  </si>
  <si>
    <t>Cess Received in kind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</si>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</sst>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_);\(0\)"/>
    <numFmt numFmtId="167" formatCode="_-* #,##0_-;\-* #,##0_-;_-* &quot;-&quot;??_-;_-@_-"/>
    <numFmt numFmtId="168" formatCode="0.0%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Cambria"/>
      <family val="1"/>
    </font>
    <font>
      <sz val="10"/>
      <color theme="1"/>
      <name val="Arial Narrow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Tahoma"/>
      <family val="2"/>
    </font>
    <font>
      <sz val="10"/>
      <color rgb="FF000000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9"/>
      <color theme="1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14"/>
      <color theme="1"/>
      <name val="Times New Roman"/>
      <family val="1"/>
    </font>
    <font>
      <sz val="10"/>
      <name val="Calibri"/>
      <family val="2"/>
      <scheme val="minor"/>
    </font>
    <font>
      <sz val="7"/>
      <color rgb="FF231F20"/>
      <name val="Verdana"/>
      <family val="2"/>
    </font>
    <font>
      <sz val="11"/>
      <color theme="1"/>
      <name val="Arial Narrow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b/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7" fillId="0" borderId="1" xfId="0" applyFont="1" applyBorder="1" applyAlignment="1">
      <alignment vertical="center"/>
    </xf>
    <xf numFmtId="165" fontId="8" fillId="2" borderId="2" xfId="2" applyNumberFormat="1" applyFont="1" applyFill="1" applyBorder="1" applyAlignment="1">
      <alignment horizontal="left" vertical="top"/>
    </xf>
    <xf numFmtId="165" fontId="8" fillId="2" borderId="2" xfId="2" applyNumberFormat="1" applyFont="1" applyFill="1" applyBorder="1" applyAlignment="1">
      <alignment horizontal="right" vertical="top"/>
    </xf>
    <xf numFmtId="165" fontId="8" fillId="0" borderId="0" xfId="2" applyNumberFormat="1" applyFont="1"/>
    <xf numFmtId="165" fontId="9" fillId="0" borderId="2" xfId="2" applyNumberFormat="1" applyFont="1" applyBorder="1" applyAlignment="1"/>
    <xf numFmtId="165" fontId="8" fillId="2" borderId="3" xfId="2" applyNumberFormat="1" applyFont="1" applyFill="1" applyBorder="1" applyAlignment="1">
      <alignment horizontal="right" vertical="top"/>
    </xf>
    <xf numFmtId="165" fontId="8" fillId="2" borderId="4" xfId="2" applyNumberFormat="1" applyFont="1" applyFill="1" applyBorder="1" applyAlignment="1">
      <alignment horizontal="right" vertical="top"/>
    </xf>
    <xf numFmtId="0" fontId="3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165" fontId="9" fillId="0" borderId="0" xfId="2" applyNumberFormat="1" applyFont="1" applyBorder="1"/>
    <xf numFmtId="0" fontId="8" fillId="0" borderId="0" xfId="0" applyFont="1"/>
    <xf numFmtId="0" fontId="12" fillId="0" borderId="0" xfId="0" applyFont="1"/>
    <xf numFmtId="0" fontId="1" fillId="0" borderId="0" xfId="0" applyFont="1"/>
    <xf numFmtId="165" fontId="12" fillId="0" borderId="0" xfId="2" applyNumberFormat="1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3" fillId="0" borderId="2" xfId="3" applyBorder="1"/>
    <xf numFmtId="164" fontId="14" fillId="0" borderId="0" xfId="4" applyFont="1"/>
    <xf numFmtId="0" fontId="15" fillId="0" borderId="0" xfId="0" applyFont="1"/>
    <xf numFmtId="0" fontId="16" fillId="0" borderId="2" xfId="5" applyFont="1" applyBorder="1"/>
    <xf numFmtId="0" fontId="16" fillId="0" borderId="2" xfId="5" applyFont="1" applyBorder="1" applyAlignment="1">
      <alignment horizontal="left"/>
    </xf>
    <xf numFmtId="165" fontId="16" fillId="0" borderId="2" xfId="5" applyNumberFormat="1" applyFont="1" applyBorder="1" applyAlignment="1">
      <alignment vertical="center"/>
    </xf>
    <xf numFmtId="0" fontId="12" fillId="0" borderId="2" xfId="5" applyFont="1" applyBorder="1"/>
    <xf numFmtId="0" fontId="17" fillId="0" borderId="2" xfId="5" applyFont="1" applyBorder="1" applyAlignment="1">
      <alignment horizontal="left" vertical="center"/>
    </xf>
    <xf numFmtId="0" fontId="17" fillId="0" borderId="2" xfId="5" applyFont="1" applyBorder="1" applyAlignment="1">
      <alignment vertical="center"/>
    </xf>
    <xf numFmtId="0" fontId="18" fillId="0" borderId="2" xfId="0" applyFont="1" applyBorder="1"/>
    <xf numFmtId="0" fontId="19" fillId="0" borderId="2" xfId="0" applyFont="1" applyBorder="1"/>
    <xf numFmtId="165" fontId="17" fillId="0" borderId="2" xfId="6" applyNumberFormat="1" applyFont="1" applyBorder="1" applyAlignment="1">
      <alignment vertical="center"/>
    </xf>
    <xf numFmtId="0" fontId="20" fillId="2" borderId="2" xfId="0" applyFont="1" applyFill="1" applyBorder="1"/>
    <xf numFmtId="0" fontId="20" fillId="2" borderId="4" xfId="0" applyFont="1" applyFill="1" applyBorder="1"/>
    <xf numFmtId="0" fontId="21" fillId="2" borderId="2" xfId="0" applyFont="1" applyFill="1" applyBorder="1"/>
    <xf numFmtId="0" fontId="22" fillId="2" borderId="5" xfId="0" applyFont="1" applyFill="1" applyBorder="1"/>
    <xf numFmtId="165" fontId="3" fillId="0" borderId="2" xfId="2" applyNumberFormat="1" applyFont="1" applyBorder="1"/>
    <xf numFmtId="165" fontId="9" fillId="0" borderId="0" xfId="2" applyNumberFormat="1" applyFont="1" applyAlignment="1"/>
    <xf numFmtId="165" fontId="23" fillId="2" borderId="2" xfId="2" applyNumberFormat="1" applyFont="1" applyFill="1" applyBorder="1" applyAlignment="1">
      <alignment horizontal="left" vertical="top"/>
    </xf>
    <xf numFmtId="1" fontId="23" fillId="2" borderId="2" xfId="2" applyNumberFormat="1" applyFont="1" applyFill="1" applyBorder="1" applyAlignment="1">
      <alignment horizontal="right" vertical="top"/>
    </xf>
    <xf numFmtId="165" fontId="23" fillId="2" borderId="2" xfId="2" applyNumberFormat="1" applyFont="1" applyFill="1" applyBorder="1" applyAlignment="1">
      <alignment horizontal="right" vertical="top"/>
    </xf>
    <xf numFmtId="165" fontId="14" fillId="0" borderId="0" xfId="6" applyNumberFormat="1" applyFont="1" applyFill="1"/>
    <xf numFmtId="3" fontId="14" fillId="0" borderId="0" xfId="6" applyNumberFormat="1" applyFont="1" applyFill="1"/>
    <xf numFmtId="165" fontId="23" fillId="2" borderId="3" xfId="2" applyNumberFormat="1" applyFont="1" applyFill="1" applyBorder="1" applyAlignment="1">
      <alignment horizontal="right" vertical="top"/>
    </xf>
    <xf numFmtId="165" fontId="23" fillId="2" borderId="4" xfId="2" applyNumberFormat="1" applyFont="1" applyFill="1" applyBorder="1" applyAlignment="1">
      <alignment horizontal="right" vertical="top"/>
    </xf>
    <xf numFmtId="165" fontId="4" fillId="0" borderId="0" xfId="2" applyNumberFormat="1" applyFont="1"/>
    <xf numFmtId="165" fontId="4" fillId="0" borderId="2" xfId="2" applyNumberFormat="1" applyFont="1" applyBorder="1"/>
    <xf numFmtId="165" fontId="23" fillId="2" borderId="4" xfId="2" applyNumberFormat="1" applyFont="1" applyFill="1" applyBorder="1" applyAlignment="1">
      <alignment horizontal="right" vertical="top" shrinkToFit="1"/>
    </xf>
    <xf numFmtId="165" fontId="0" fillId="2" borderId="0" xfId="2" applyNumberFormat="1" applyFont="1" applyFill="1"/>
    <xf numFmtId="3" fontId="2" fillId="0" borderId="0" xfId="0" applyNumberFormat="1" applyFont="1"/>
    <xf numFmtId="3" fontId="1" fillId="0" borderId="0" xfId="0" applyNumberFormat="1" applyFont="1"/>
    <xf numFmtId="165" fontId="1" fillId="2" borderId="0" xfId="2" applyNumberFormat="1" applyFont="1" applyFill="1"/>
    <xf numFmtId="165" fontId="3" fillId="2" borderId="0" xfId="2" applyNumberFormat="1" applyFont="1" applyFill="1"/>
    <xf numFmtId="0" fontId="1" fillId="2" borderId="0" xfId="0" applyFont="1" applyFill="1"/>
    <xf numFmtId="165" fontId="1" fillId="0" borderId="0" xfId="2" applyNumberFormat="1" applyFont="1"/>
    <xf numFmtId="165" fontId="12" fillId="2" borderId="0" xfId="2" applyNumberFormat="1" applyFont="1" applyFill="1"/>
    <xf numFmtId="3" fontId="24" fillId="0" borderId="0" xfId="0" applyNumberFormat="1" applyFont="1" applyAlignment="1">
      <alignment horizontal="right" vertical="top" shrinkToFit="1"/>
    </xf>
    <xf numFmtId="1" fontId="24" fillId="0" borderId="0" xfId="0" applyNumberFormat="1" applyFont="1" applyAlignment="1">
      <alignment horizontal="right" vertical="top" shrinkToFit="1"/>
    </xf>
    <xf numFmtId="3" fontId="24" fillId="0" borderId="0" xfId="0" applyNumberFormat="1" applyFont="1" applyAlignment="1">
      <alignment vertical="top" shrinkToFit="1"/>
    </xf>
    <xf numFmtId="1" fontId="24" fillId="0" borderId="0" xfId="0" applyNumberFormat="1" applyFont="1" applyAlignment="1">
      <alignment vertical="top" shrinkToFit="1"/>
    </xf>
    <xf numFmtId="166" fontId="24" fillId="0" borderId="0" xfId="0" applyNumberFormat="1" applyFont="1" applyAlignment="1">
      <alignment horizontal="right" vertical="top" shrinkToFit="1"/>
    </xf>
    <xf numFmtId="165" fontId="12" fillId="2" borderId="0" xfId="0" applyNumberFormat="1" applyFont="1" applyFill="1"/>
    <xf numFmtId="165" fontId="13" fillId="2" borderId="2" xfId="2" applyNumberFormat="1" applyFont="1" applyFill="1" applyBorder="1"/>
    <xf numFmtId="167" fontId="13" fillId="0" borderId="0" xfId="3" applyNumberFormat="1"/>
    <xf numFmtId="167" fontId="1" fillId="2" borderId="0" xfId="5" applyNumberFormat="1" applyFill="1"/>
    <xf numFmtId="38" fontId="25" fillId="2" borderId="2" xfId="4" applyNumberFormat="1" applyFont="1" applyFill="1" applyBorder="1"/>
    <xf numFmtId="167" fontId="26" fillId="2" borderId="2" xfId="4" applyNumberFormat="1" applyFont="1" applyFill="1" applyBorder="1" applyAlignment="1"/>
    <xf numFmtId="165" fontId="12" fillId="2" borderId="2" xfId="2" applyNumberFormat="1" applyFont="1" applyFill="1" applyBorder="1"/>
    <xf numFmtId="165" fontId="26" fillId="2" borderId="2" xfId="2" applyNumberFormat="1" applyFont="1" applyFill="1" applyBorder="1"/>
    <xf numFmtId="165" fontId="12" fillId="2" borderId="2" xfId="2" applyNumberFormat="1" applyFont="1" applyFill="1" applyBorder="1" applyAlignment="1">
      <alignment horizontal="left" vertical="center"/>
    </xf>
    <xf numFmtId="0" fontId="12" fillId="2" borderId="2" xfId="5" applyFont="1" applyFill="1" applyBorder="1"/>
    <xf numFmtId="165" fontId="10" fillId="2" borderId="2" xfId="2" applyNumberFormat="1" applyFont="1" applyFill="1" applyBorder="1" applyAlignment="1">
      <alignment vertical="center"/>
    </xf>
    <xf numFmtId="165" fontId="12" fillId="2" borderId="2" xfId="6" applyNumberFormat="1" applyFont="1" applyFill="1" applyBorder="1"/>
    <xf numFmtId="165" fontId="0" fillId="0" borderId="2" xfId="2" applyNumberFormat="1" applyFont="1" applyBorder="1"/>
    <xf numFmtId="43" fontId="27" fillId="0" borderId="2" xfId="2" applyFont="1" applyBorder="1"/>
    <xf numFmtId="43" fontId="20" fillId="0" borderId="2" xfId="2" applyFont="1" applyBorder="1"/>
    <xf numFmtId="165" fontId="27" fillId="0" borderId="2" xfId="2" applyNumberFormat="1" applyFont="1" applyFill="1" applyBorder="1"/>
    <xf numFmtId="165" fontId="14" fillId="0" borderId="2" xfId="2" applyNumberFormat="1" applyFont="1" applyFill="1" applyBorder="1"/>
    <xf numFmtId="165" fontId="28" fillId="0" borderId="2" xfId="2" applyNumberFormat="1" applyFont="1" applyFill="1" applyBorder="1"/>
    <xf numFmtId="165" fontId="21" fillId="0" borderId="2" xfId="2" applyNumberFormat="1" applyFont="1" applyFill="1" applyBorder="1"/>
    <xf numFmtId="0" fontId="21" fillId="0" borderId="2" xfId="0" applyFont="1" applyBorder="1"/>
    <xf numFmtId="165" fontId="20" fillId="2" borderId="2" xfId="2" applyNumberFormat="1" applyFont="1" applyFill="1" applyBorder="1"/>
    <xf numFmtId="165" fontId="5" fillId="2" borderId="2" xfId="2" applyNumberFormat="1" applyFont="1" applyFill="1" applyBorder="1"/>
    <xf numFmtId="165" fontId="6" fillId="2" borderId="2" xfId="2" applyNumberFormat="1" applyFont="1" applyFill="1" applyBorder="1"/>
    <xf numFmtId="43" fontId="6" fillId="2" borderId="2" xfId="2" applyFont="1" applyFill="1" applyBorder="1"/>
    <xf numFmtId="165" fontId="22" fillId="0" borderId="2" xfId="0" applyNumberFormat="1" applyFont="1" applyBorder="1"/>
    <xf numFmtId="165" fontId="7" fillId="0" borderId="0" xfId="2" applyNumberFormat="1" applyFont="1" applyBorder="1" applyAlignment="1">
      <alignment vertical="center"/>
    </xf>
    <xf numFmtId="165" fontId="7" fillId="0" borderId="0" xfId="2" applyNumberFormat="1" applyFont="1" applyBorder="1" applyAlignment="1">
      <alignment horizontal="right" vertical="center"/>
    </xf>
    <xf numFmtId="165" fontId="7" fillId="0" borderId="0" xfId="2" applyNumberFormat="1" applyFont="1" applyBorder="1" applyAlignment="1">
      <alignment vertical="center" wrapText="1"/>
    </xf>
    <xf numFmtId="165" fontId="23" fillId="2" borderId="6" xfId="2" applyNumberFormat="1" applyFont="1" applyFill="1" applyBorder="1" applyAlignment="1">
      <alignment horizontal="left" vertical="top"/>
    </xf>
    <xf numFmtId="1" fontId="23" fillId="2" borderId="6" xfId="2" applyNumberFormat="1" applyFont="1" applyFill="1" applyBorder="1" applyAlignment="1">
      <alignment horizontal="right" vertical="top"/>
    </xf>
    <xf numFmtId="165" fontId="23" fillId="2" borderId="7" xfId="2" applyNumberFormat="1" applyFont="1" applyFill="1" applyBorder="1" applyAlignment="1">
      <alignment horizontal="right" vertical="top"/>
    </xf>
    <xf numFmtId="165" fontId="23" fillId="2" borderId="8" xfId="2" applyNumberFormat="1" applyFont="1" applyFill="1" applyBorder="1" applyAlignment="1">
      <alignment horizontal="right" vertical="top"/>
    </xf>
    <xf numFmtId="165" fontId="4" fillId="0" borderId="0" xfId="2" applyNumberFormat="1" applyFont="1" applyBorder="1"/>
    <xf numFmtId="165" fontId="4" fillId="0" borderId="6" xfId="2" applyNumberFormat="1" applyFont="1" applyBorder="1"/>
    <xf numFmtId="165" fontId="4" fillId="0" borderId="7" xfId="2" applyNumberFormat="1" applyFont="1" applyBorder="1"/>
    <xf numFmtId="165" fontId="23" fillId="2" borderId="0" xfId="2" applyNumberFormat="1" applyFont="1" applyFill="1" applyBorder="1" applyAlignment="1">
      <alignment horizontal="left" vertical="top"/>
    </xf>
    <xf numFmtId="165" fontId="23" fillId="2" borderId="0" xfId="2" applyNumberFormat="1" applyFont="1" applyFill="1" applyBorder="1" applyAlignment="1">
      <alignment horizontal="right" vertical="top"/>
    </xf>
    <xf numFmtId="167" fontId="0" fillId="0" borderId="0" xfId="1" applyNumberFormat="1" applyFont="1"/>
    <xf numFmtId="1" fontId="0" fillId="0" borderId="0" xfId="1" applyNumberFormat="1" applyFont="1"/>
    <xf numFmtId="167" fontId="0" fillId="0" borderId="2" xfId="1" applyNumberFormat="1" applyFont="1" applyBorder="1"/>
    <xf numFmtId="165" fontId="31" fillId="2" borderId="2" xfId="2" applyNumberFormat="1" applyFont="1" applyFill="1" applyBorder="1" applyAlignment="1">
      <alignment horizontal="left" vertical="top"/>
    </xf>
    <xf numFmtId="165" fontId="31" fillId="2" borderId="2" xfId="2" applyNumberFormat="1" applyFont="1" applyFill="1" applyBorder="1" applyAlignment="1">
      <alignment horizontal="right" vertical="top"/>
    </xf>
    <xf numFmtId="165" fontId="31" fillId="0" borderId="0" xfId="2" applyNumberFormat="1" applyFont="1"/>
    <xf numFmtId="165" fontId="32" fillId="0" borderId="2" xfId="2" applyNumberFormat="1" applyFont="1" applyBorder="1" applyAlignment="1"/>
    <xf numFmtId="165" fontId="31" fillId="2" borderId="3" xfId="2" applyNumberFormat="1" applyFont="1" applyFill="1" applyBorder="1" applyAlignment="1">
      <alignment horizontal="right" vertical="top"/>
    </xf>
    <xf numFmtId="165" fontId="31" fillId="2" borderId="4" xfId="2" applyNumberFormat="1" applyFont="1" applyFill="1" applyBorder="1" applyAlignment="1">
      <alignment horizontal="right" vertical="top"/>
    </xf>
    <xf numFmtId="0" fontId="33" fillId="0" borderId="2" xfId="0" applyFont="1" applyBorder="1"/>
    <xf numFmtId="0" fontId="19" fillId="0" borderId="0" xfId="0" applyFont="1"/>
    <xf numFmtId="165" fontId="34" fillId="2" borderId="2" xfId="2" applyNumberFormat="1" applyFont="1" applyFill="1" applyBorder="1" applyAlignment="1">
      <alignment horizontal="left" vertical="top"/>
    </xf>
    <xf numFmtId="1" fontId="34" fillId="2" borderId="2" xfId="2" applyNumberFormat="1" applyFont="1" applyFill="1" applyBorder="1" applyAlignment="1">
      <alignment horizontal="right" vertical="top"/>
    </xf>
    <xf numFmtId="165" fontId="34" fillId="2" borderId="2" xfId="2" applyNumberFormat="1" applyFont="1" applyFill="1" applyBorder="1" applyAlignment="1">
      <alignment horizontal="right" vertical="top"/>
    </xf>
    <xf numFmtId="165" fontId="34" fillId="0" borderId="0" xfId="6" applyNumberFormat="1" applyFont="1" applyFill="1"/>
    <xf numFmtId="3" fontId="34" fillId="0" borderId="0" xfId="6" applyNumberFormat="1" applyFont="1" applyFill="1"/>
    <xf numFmtId="165" fontId="34" fillId="2" borderId="3" xfId="2" applyNumberFormat="1" applyFont="1" applyFill="1" applyBorder="1" applyAlignment="1">
      <alignment horizontal="right" vertical="top"/>
    </xf>
    <xf numFmtId="165" fontId="34" fillId="2" borderId="4" xfId="2" applyNumberFormat="1" applyFont="1" applyFill="1" applyBorder="1" applyAlignment="1">
      <alignment horizontal="right" vertical="top"/>
    </xf>
    <xf numFmtId="165" fontId="19" fillId="0" borderId="2" xfId="2" applyNumberFormat="1" applyFont="1" applyBorder="1"/>
    <xf numFmtId="165" fontId="19" fillId="0" borderId="0" xfId="2" applyNumberFormat="1" applyFont="1"/>
    <xf numFmtId="165" fontId="34" fillId="2" borderId="4" xfId="2" applyNumberFormat="1" applyFont="1" applyFill="1" applyBorder="1" applyAlignment="1">
      <alignment horizontal="right" vertical="top" shrinkToFit="1"/>
    </xf>
    <xf numFmtId="167" fontId="33" fillId="0" borderId="2" xfId="0" applyNumberFormat="1" applyFont="1" applyBorder="1"/>
    <xf numFmtId="167" fontId="33" fillId="0" borderId="2" xfId="1" applyNumberFormat="1" applyFont="1" applyFill="1" applyBorder="1" applyAlignment="1">
      <alignment horizontal="right"/>
    </xf>
    <xf numFmtId="167" fontId="33" fillId="0" borderId="2" xfId="1" applyNumberFormat="1" applyFont="1" applyFill="1" applyBorder="1"/>
    <xf numFmtId="167" fontId="33" fillId="0" borderId="2" xfId="7" applyNumberFormat="1" applyFont="1" applyFill="1" applyBorder="1" applyAlignment="1">
      <alignment wrapText="1"/>
    </xf>
    <xf numFmtId="167" fontId="33" fillId="0" borderId="2" xfId="1" applyNumberFormat="1" applyFont="1" applyBorder="1"/>
    <xf numFmtId="3" fontId="35" fillId="0" borderId="0" xfId="0" applyNumberFormat="1" applyFont="1"/>
    <xf numFmtId="3" fontId="19" fillId="0" borderId="0" xfId="0" applyNumberFormat="1" applyFont="1"/>
    <xf numFmtId="165" fontId="0" fillId="0" borderId="0" xfId="0" applyNumberFormat="1"/>
    <xf numFmtId="168" fontId="0" fillId="0" borderId="0" xfId="8" applyNumberFormat="1" applyFont="1"/>
    <xf numFmtId="9" fontId="0" fillId="0" borderId="0" xfId="8" applyFont="1"/>
    <xf numFmtId="167" fontId="0" fillId="0" borderId="0" xfId="0" applyNumberFormat="1"/>
    <xf numFmtId="167" fontId="4" fillId="0" borderId="0" xfId="0" applyNumberFormat="1" applyFont="1"/>
    <xf numFmtId="0" fontId="0" fillId="0" borderId="0" xfId="1" applyNumberFormat="1" applyFont="1"/>
    <xf numFmtId="0" fontId="0" fillId="0" borderId="2" xfId="0" applyBorder="1"/>
    <xf numFmtId="0" fontId="36" fillId="3" borderId="2" xfId="9" applyFont="1" applyFill="1" applyBorder="1"/>
    <xf numFmtId="0" fontId="36" fillId="4" borderId="2" xfId="9" applyFont="1" applyFill="1" applyBorder="1"/>
    <xf numFmtId="0" fontId="37" fillId="4" borderId="2" xfId="9" applyFont="1" applyFill="1" applyBorder="1" applyAlignment="1">
      <alignment horizontal="left" vertical="center"/>
    </xf>
    <xf numFmtId="0" fontId="37" fillId="4" borderId="2" xfId="9" applyFont="1" applyFill="1" applyBorder="1" applyAlignment="1">
      <alignment vertical="center"/>
    </xf>
    <xf numFmtId="0" fontId="36" fillId="3" borderId="2" xfId="9" applyFont="1" applyFill="1" applyBorder="1" applyAlignment="1">
      <alignment horizontal="center"/>
    </xf>
    <xf numFmtId="167" fontId="19" fillId="0" borderId="0" xfId="0" applyNumberFormat="1" applyFont="1"/>
    <xf numFmtId="0" fontId="4" fillId="0" borderId="2" xfId="9" applyFont="1" applyBorder="1"/>
    <xf numFmtId="0" fontId="38" fillId="0" borderId="2" xfId="9" applyFont="1" applyBorder="1"/>
    <xf numFmtId="0" fontId="23" fillId="0" borderId="2" xfId="9" applyFont="1" applyBorder="1"/>
    <xf numFmtId="165" fontId="4" fillId="0" borderId="6" xfId="10" applyNumberFormat="1" applyFont="1" applyBorder="1"/>
    <xf numFmtId="9" fontId="0" fillId="0" borderId="0" xfId="8" applyFont="1" applyBorder="1"/>
    <xf numFmtId="9" fontId="36" fillId="0" borderId="0" xfId="8" applyFont="1"/>
    <xf numFmtId="9" fontId="4" fillId="0" borderId="0" xfId="8" applyFont="1"/>
    <xf numFmtId="9" fontId="9" fillId="0" borderId="0" xfId="8" applyFont="1"/>
  </cellXfs>
  <cellStyles count="11">
    <cellStyle name="Comma" xfId="1" builtinId="3"/>
    <cellStyle name="Comma 2" xfId="2" xr:uid="{00000000-0005-0000-0000-000001000000}"/>
    <cellStyle name="Comma 3" xfId="10" xr:uid="{5D5D0615-08F2-4085-A0C3-6ADB8AFBC4AC}"/>
    <cellStyle name="Comma 4" xfId="4" xr:uid="{00000000-0005-0000-0000-000002000000}"/>
    <cellStyle name="Comma 6" xfId="6" xr:uid="{00000000-0005-0000-0000-000003000000}"/>
    <cellStyle name="Comma 8" xfId="7" xr:uid="{00000000-0005-0000-0000-000004000000}"/>
    <cellStyle name="Normal" xfId="0" builtinId="0"/>
    <cellStyle name="Normal 2" xfId="9" xr:uid="{95B9BAEE-A576-4752-AA2A-023F4730636C}"/>
    <cellStyle name="Normal 3" xfId="3" xr:uid="{00000000-0005-0000-0000-000006000000}"/>
    <cellStyle name="Normal 4" xfId="5" xr:uid="{00000000-0005-0000-0000-000007000000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K319"/>
  <sheetViews>
    <sheetView tabSelected="1" workbookViewId="0">
      <pane xSplit="1" topLeftCell="B1" activePane="topRight" state="frozen"/>
      <selection pane="topRight" activeCell="FW13" sqref="FW13"/>
    </sheetView>
  </sheetViews>
  <sheetFormatPr defaultColWidth="20.54296875" defaultRowHeight="13" x14ac:dyDescent="0.3"/>
  <cols>
    <col min="1" max="1" width="25.7265625" style="96" customWidth="1"/>
    <col min="2" max="2" width="13.54296875" style="97" customWidth="1"/>
    <col min="3" max="3" width="25.26953125" style="97" customWidth="1"/>
    <col min="4" max="4" width="26.81640625" style="45" customWidth="1"/>
    <col min="5" max="5" width="18.81640625" style="45" customWidth="1"/>
    <col min="6" max="6" width="13.54296875" style="45" customWidth="1"/>
    <col min="7" max="7" width="15.7265625" style="45" customWidth="1"/>
    <col min="8" max="8" width="30.26953125" style="45" customWidth="1"/>
    <col min="9" max="9" width="14.453125" style="97" customWidth="1"/>
    <col min="10" max="10" width="45.81640625" style="97" customWidth="1"/>
    <col min="11" max="11" width="20.453125" style="97" customWidth="1"/>
    <col min="12" max="12" width="36.81640625" style="97" customWidth="1"/>
    <col min="13" max="13" width="27.453125" style="97" customWidth="1"/>
    <col min="14" max="14" width="26.453125" style="97" customWidth="1"/>
    <col min="15" max="15" width="18.54296875" style="97" customWidth="1"/>
    <col min="16" max="16" width="28" style="97" customWidth="1"/>
    <col min="17" max="17" width="27.7265625" style="97" customWidth="1"/>
    <col min="18" max="18" width="28" style="97" customWidth="1"/>
    <col min="19" max="19" width="9.7265625" style="97" customWidth="1"/>
    <col min="20" max="20" width="28" style="97" customWidth="1"/>
    <col min="21" max="21" width="20.7265625" style="97" customWidth="1"/>
    <col min="22" max="22" width="34.7265625" style="97" customWidth="1"/>
    <col min="23" max="23" width="10.54296875" style="97" customWidth="1"/>
    <col min="24" max="24" width="17.81640625" style="97" customWidth="1"/>
    <col min="25" max="25" width="11.7265625" style="97" customWidth="1"/>
    <col min="26" max="26" width="17.26953125" style="97" customWidth="1"/>
    <col min="27" max="27" width="15.26953125" style="93" customWidth="1"/>
    <col min="28" max="28" width="21.54296875" style="93" customWidth="1"/>
    <col min="29" max="29" width="22.81640625" style="93" bestFit="1" customWidth="1"/>
    <col min="30" max="30" width="23.7265625" style="93" bestFit="1" customWidth="1"/>
    <col min="31" max="32" width="17.7265625" style="93" bestFit="1" customWidth="1"/>
    <col min="33" max="33" width="20.7265625" style="93" customWidth="1"/>
    <col min="34" max="34" width="12.54296875" style="93" customWidth="1"/>
    <col min="35" max="35" width="24.7265625" style="93" customWidth="1"/>
    <col min="36" max="36" width="31.54296875" style="93" customWidth="1"/>
    <col min="37" max="37" width="20.81640625" style="93" customWidth="1"/>
    <col min="38" max="38" width="20.54296875" style="93" customWidth="1"/>
    <col min="39" max="39" width="20.26953125" style="93" customWidth="1"/>
    <col min="40" max="40" width="14.54296875" style="93" customWidth="1"/>
    <col min="41" max="41" width="12.7265625" style="93" customWidth="1"/>
    <col min="42" max="42" width="12.81640625" style="93" customWidth="1"/>
    <col min="43" max="43" width="24" style="93" customWidth="1"/>
    <col min="44" max="44" width="17.26953125" style="93" customWidth="1"/>
    <col min="45" max="45" width="11.54296875" style="93" customWidth="1"/>
    <col min="46" max="46" width="15.7265625" style="93" customWidth="1"/>
    <col min="47" max="47" width="16.453125" style="93" customWidth="1"/>
    <col min="48" max="48" width="14" style="93" customWidth="1"/>
    <col min="49" max="50" width="11.54296875" style="93" customWidth="1"/>
    <col min="51" max="51" width="10.1796875" style="93" customWidth="1"/>
    <col min="52" max="52" width="13.453125" style="93" customWidth="1"/>
    <col min="53" max="53" width="10.453125" style="93" customWidth="1"/>
    <col min="54" max="54" width="9" style="93" customWidth="1"/>
    <col min="55" max="55" width="17.453125" style="93" customWidth="1"/>
    <col min="56" max="56" width="12.453125" style="93" customWidth="1"/>
    <col min="57" max="57" width="18.54296875" style="93" customWidth="1"/>
    <col min="58" max="58" width="17.7265625" style="93" customWidth="1"/>
    <col min="59" max="59" width="41.54296875" style="93" bestFit="1" customWidth="1"/>
    <col min="60" max="60" width="18.26953125" style="93" customWidth="1"/>
    <col min="61" max="104" width="20.7265625" style="93" customWidth="1"/>
    <col min="105" max="105" width="11.54296875" style="93" customWidth="1"/>
    <col min="106" max="106" width="19.453125" style="93" customWidth="1"/>
    <col min="107" max="107" width="18.54296875" style="93" customWidth="1"/>
    <col min="108" max="108" width="11.453125" style="93" customWidth="1"/>
    <col min="109" max="109" width="14.54296875" style="93" customWidth="1"/>
    <col min="110" max="110" width="19" style="93" customWidth="1"/>
    <col min="111" max="111" width="14.54296875" style="93" customWidth="1"/>
    <col min="112" max="112" width="11.54296875" style="93" customWidth="1"/>
    <col min="113" max="113" width="16.7265625" style="93" customWidth="1"/>
    <col min="114" max="114" width="19.1796875" style="93" customWidth="1"/>
    <col min="115" max="115" width="16.453125" style="93" customWidth="1"/>
    <col min="116" max="116" width="10.453125" style="93" customWidth="1"/>
    <col min="117" max="117" width="17" style="93" customWidth="1"/>
    <col min="118" max="118" width="9.453125" style="93" customWidth="1"/>
    <col min="119" max="119" width="12.26953125" style="93" bestFit="1" customWidth="1"/>
    <col min="120" max="120" width="11.1796875" style="93" customWidth="1"/>
    <col min="121" max="121" width="18.453125" style="93" customWidth="1"/>
    <col min="122" max="122" width="11.7265625" style="93" customWidth="1"/>
    <col min="123" max="164" width="20.54296875" style="93" customWidth="1"/>
    <col min="165" max="165" width="11" style="93" customWidth="1"/>
    <col min="166" max="166" width="19.1796875" style="93" customWidth="1"/>
    <col min="167" max="167" width="23.7265625" style="93" customWidth="1"/>
    <col min="168" max="169" width="22" style="93" customWidth="1"/>
    <col min="170" max="170" width="15.81640625" style="93" customWidth="1"/>
    <col min="171" max="171" width="21.81640625" style="93" customWidth="1"/>
    <col min="172" max="172" width="13.26953125" style="93" customWidth="1"/>
    <col min="173" max="173" width="9.1796875" style="93" customWidth="1"/>
    <col min="174" max="174" width="21.1796875" style="93" customWidth="1"/>
    <col min="175" max="175" width="20.81640625" style="93" customWidth="1"/>
    <col min="176" max="176" width="19.26953125" style="93" customWidth="1"/>
    <col min="177" max="177" width="10.54296875" style="93" customWidth="1"/>
    <col min="178" max="178" width="19.81640625" style="93" customWidth="1"/>
    <col min="179" max="179" width="20.453125" style="93" customWidth="1"/>
    <col min="180" max="180" width="20.1796875" style="93" customWidth="1"/>
    <col min="181" max="181" width="18.7265625" style="93" customWidth="1"/>
    <col min="182" max="182" width="19.1796875" style="93" customWidth="1"/>
    <col min="183" max="183" width="17.54296875" style="93" customWidth="1"/>
    <col min="184" max="237" width="20.54296875" style="93" customWidth="1"/>
    <col min="238" max="238" width="47.1796875" style="93" bestFit="1" customWidth="1"/>
    <col min="239" max="239" width="19.81640625" style="93" bestFit="1" customWidth="1"/>
    <col min="240" max="240" width="11.26953125" style="93" customWidth="1"/>
    <col min="241" max="241" width="18.1796875" style="93" bestFit="1" customWidth="1"/>
    <col min="242" max="242" width="11.81640625" style="93" bestFit="1" customWidth="1"/>
    <col min="243" max="243" width="33" style="93" bestFit="1" customWidth="1"/>
    <col min="244" max="244" width="36.453125" style="93" customWidth="1"/>
    <col min="245" max="257" width="20.54296875" style="93" customWidth="1"/>
    <col min="258" max="258" width="16.453125" style="93" customWidth="1"/>
    <col min="259" max="259" width="11.1796875" style="93" customWidth="1"/>
    <col min="260" max="262" width="9.81640625" style="93" customWidth="1"/>
    <col min="263" max="263" width="10.453125" style="93" customWidth="1"/>
    <col min="264" max="264" width="12" style="93" customWidth="1"/>
    <col min="265" max="265" width="11.1796875" style="93" customWidth="1"/>
    <col min="266" max="266" width="8.81640625" style="93" customWidth="1"/>
    <col min="267" max="267" width="9.81640625" style="93" customWidth="1"/>
    <col min="268" max="270" width="11.1796875" style="93" customWidth="1"/>
    <col min="271" max="271" width="14.7265625" style="93" customWidth="1"/>
    <col min="272" max="272" width="16.81640625" style="93" customWidth="1"/>
    <col min="273" max="273" width="9" style="93" bestFit="1" customWidth="1"/>
    <col min="274" max="274" width="9.81640625" style="93" bestFit="1" customWidth="1"/>
    <col min="275" max="275" width="9.7265625" style="93" bestFit="1" customWidth="1"/>
    <col min="276" max="276" width="22.453125" style="93" bestFit="1" customWidth="1"/>
    <col min="277" max="277" width="17.26953125" style="93" bestFit="1" customWidth="1"/>
    <col min="278" max="278" width="8.453125" style="93" bestFit="1" customWidth="1"/>
    <col min="279" max="279" width="20.54296875" style="93" customWidth="1"/>
    <col min="280" max="280" width="16.453125" style="93" bestFit="1" customWidth="1"/>
    <col min="281" max="295" width="20.7265625" style="93" customWidth="1"/>
    <col min="296" max="296" width="10.7265625" style="93" customWidth="1"/>
    <col min="297" max="297" width="16.1796875" style="93" customWidth="1"/>
    <col min="298" max="298" width="9.81640625" style="93" customWidth="1"/>
    <col min="299" max="299" width="11.1796875" style="93" customWidth="1"/>
    <col min="300" max="311" width="20.54296875" style="93" customWidth="1"/>
    <col min="312" max="312" width="32.453125" style="93" bestFit="1" customWidth="1"/>
    <col min="313" max="313" width="14.26953125" style="93" bestFit="1" customWidth="1"/>
    <col min="314" max="314" width="24.81640625" style="93" bestFit="1" customWidth="1"/>
    <col min="315" max="315" width="25.453125" style="93" bestFit="1" customWidth="1"/>
    <col min="316" max="316" width="23.7265625" style="93" bestFit="1" customWidth="1"/>
    <col min="317" max="317" width="35.453125" style="93" bestFit="1" customWidth="1"/>
    <col min="318" max="328" width="20.54296875" style="93" customWidth="1"/>
    <col min="329" max="329" width="10.7265625" style="93" customWidth="1"/>
    <col min="330" max="330" width="14.7265625" style="93" customWidth="1"/>
    <col min="331" max="331" width="7" style="93" customWidth="1"/>
    <col min="332" max="332" width="9.81640625" style="93" customWidth="1"/>
    <col min="333" max="333" width="10.1796875" style="93" customWidth="1"/>
    <col min="334" max="334" width="11.7265625" style="93" customWidth="1"/>
    <col min="335" max="335" width="15.81640625" style="93" customWidth="1"/>
    <col min="336" max="337" width="9" style="93" customWidth="1"/>
    <col min="338" max="338" width="20" style="93" customWidth="1"/>
    <col min="339" max="339" width="10.1796875" style="93" customWidth="1"/>
    <col min="340" max="397" width="20.54296875" style="93" customWidth="1"/>
    <col min="398" max="398" width="14.453125" style="93" customWidth="1"/>
    <col min="399" max="399" width="13.54296875" style="93" customWidth="1"/>
    <col min="400" max="400" width="14.54296875" style="93" customWidth="1"/>
    <col min="401" max="401" width="14.26953125" style="93" customWidth="1"/>
    <col min="402" max="402" width="9.7265625" style="93" customWidth="1"/>
    <col min="403" max="403" width="15.453125" style="93" customWidth="1"/>
    <col min="404" max="404" width="11.1796875" style="93" customWidth="1"/>
    <col min="405" max="405" width="16.1796875" style="93" customWidth="1"/>
    <col min="406" max="406" width="5" style="93" customWidth="1"/>
    <col min="407" max="407" width="7.81640625" style="93" customWidth="1"/>
    <col min="408" max="408" width="6.453125" style="93" customWidth="1"/>
    <col min="409" max="409" width="21.453125" style="93" customWidth="1"/>
    <col min="410" max="410" width="22.26953125" style="93" customWidth="1"/>
    <col min="411" max="411" width="12.453125" style="93" customWidth="1"/>
    <col min="412" max="412" width="19.7265625" style="93" customWidth="1"/>
    <col min="413" max="413" width="15" style="93" customWidth="1"/>
    <col min="414" max="450" width="20.54296875" style="93" customWidth="1"/>
    <col min="451" max="451" width="40.54296875" style="93" customWidth="1"/>
    <col min="452" max="527" width="20.54296875" style="93" customWidth="1"/>
    <col min="528" max="528" width="10.7265625" style="93" customWidth="1"/>
    <col min="529" max="529" width="9.81640625" style="93" customWidth="1"/>
    <col min="530" max="530" width="13.453125" style="93" customWidth="1"/>
    <col min="531" max="531" width="11" style="93" customWidth="1"/>
    <col min="532" max="532" width="10" style="93" customWidth="1"/>
    <col min="533" max="533" width="10.26953125" style="93" customWidth="1"/>
    <col min="534" max="534" width="11.81640625" style="93" customWidth="1"/>
    <col min="535" max="535" width="11.1796875" style="93" customWidth="1"/>
    <col min="536" max="536" width="9.81640625" style="93" customWidth="1"/>
    <col min="537" max="538" width="9" style="93" customWidth="1"/>
    <col min="539" max="539" width="10.453125" style="93" customWidth="1"/>
    <col min="540" max="540" width="18.1796875" style="93" customWidth="1"/>
    <col min="541" max="541" width="9" style="93" customWidth="1"/>
    <col min="542" max="542" width="20.7265625" style="93" customWidth="1"/>
    <col min="543" max="543" width="17.81640625" style="93" customWidth="1"/>
    <col min="544" max="544" width="21" style="93" customWidth="1"/>
    <col min="545" max="545" width="14.81640625" style="93" customWidth="1"/>
    <col min="546" max="568" width="20.81640625" style="93" customWidth="1"/>
    <col min="569" max="569" width="9.7265625" style="93" bestFit="1" customWidth="1"/>
    <col min="570" max="632" width="20.54296875" style="93"/>
    <col min="633" max="633" width="16.26953125" style="93" bestFit="1" customWidth="1"/>
    <col min="634" max="634" width="22.26953125" style="93" bestFit="1" customWidth="1"/>
    <col min="635" max="635" width="7.81640625" style="93" bestFit="1" customWidth="1"/>
    <col min="636" max="636" width="10.453125" style="93" bestFit="1" customWidth="1"/>
    <col min="637" max="637" width="9.81640625" style="93" bestFit="1" customWidth="1"/>
    <col min="638" max="638" width="10.54296875" style="93" bestFit="1" customWidth="1"/>
    <col min="639" max="639" width="11.81640625" style="93" bestFit="1" customWidth="1"/>
    <col min="640" max="640" width="11.54296875" style="93" bestFit="1" customWidth="1"/>
    <col min="641" max="641" width="13.453125" style="93" bestFit="1" customWidth="1"/>
    <col min="642" max="642" width="10.26953125" style="93" bestFit="1" customWidth="1"/>
    <col min="643" max="643" width="4.453125" style="93" bestFit="1" customWidth="1"/>
    <col min="644" max="644" width="17.7265625" style="93" bestFit="1" customWidth="1"/>
    <col min="645" max="645" width="15.1796875" style="93" bestFit="1" customWidth="1"/>
    <col min="646" max="646" width="19.26953125" style="93" bestFit="1" customWidth="1"/>
    <col min="647" max="647" width="17.54296875" style="93" bestFit="1" customWidth="1"/>
    <col min="648" max="648" width="23.26953125" style="93" bestFit="1" customWidth="1"/>
    <col min="649" max="664" width="20.54296875" style="93"/>
    <col min="665" max="665" width="18.81640625" style="93" bestFit="1" customWidth="1"/>
    <col min="666" max="666" width="28" style="93" bestFit="1" customWidth="1"/>
    <col min="667" max="667" width="23.26953125" style="93" bestFit="1" customWidth="1"/>
    <col min="668" max="714" width="20.54296875" style="93"/>
    <col min="715" max="715" width="13.7265625" style="93" bestFit="1" customWidth="1"/>
    <col min="716" max="16384" width="20.54296875" style="93"/>
  </cols>
  <sheetData>
    <row r="1" spans="1:765" s="37" customFormat="1" ht="18.5" thickBot="1" x14ac:dyDescent="0.45">
      <c r="A1" s="2" t="s">
        <v>22</v>
      </c>
      <c r="B1" s="3" t="s">
        <v>23</v>
      </c>
      <c r="C1" s="3" t="s">
        <v>24</v>
      </c>
      <c r="D1" s="4" t="s">
        <v>25</v>
      </c>
      <c r="E1" s="3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2" t="s">
        <v>43</v>
      </c>
      <c r="W1" s="6" t="s">
        <v>44</v>
      </c>
      <c r="X1" s="7" t="s">
        <v>45</v>
      </c>
      <c r="Y1" s="7" t="s">
        <v>46</v>
      </c>
      <c r="Z1" s="7" t="s">
        <v>47</v>
      </c>
      <c r="AA1" s="8" t="s">
        <v>48</v>
      </c>
      <c r="AB1" s="8" t="s">
        <v>49</v>
      </c>
      <c r="AC1" s="8" t="s">
        <v>50</v>
      </c>
      <c r="AD1" s="8" t="s">
        <v>51</v>
      </c>
      <c r="AE1" s="8" t="s">
        <v>52</v>
      </c>
      <c r="AF1" s="8" t="s">
        <v>53</v>
      </c>
      <c r="AG1" s="8" t="s">
        <v>54</v>
      </c>
      <c r="AH1" s="8" t="s">
        <v>55</v>
      </c>
      <c r="AI1" s="8" t="s">
        <v>56</v>
      </c>
      <c r="AJ1" s="8" t="s">
        <v>57</v>
      </c>
      <c r="AK1" s="8" t="s">
        <v>58</v>
      </c>
      <c r="AL1" s="8" t="s">
        <v>59</v>
      </c>
      <c r="AM1" s="8" t="s">
        <v>60</v>
      </c>
      <c r="AN1" s="8" t="s">
        <v>61</v>
      </c>
      <c r="AO1" s="8" t="s">
        <v>62</v>
      </c>
      <c r="AP1" s="8" t="s">
        <v>63</v>
      </c>
      <c r="AQ1" s="8" t="s">
        <v>64</v>
      </c>
      <c r="AR1" s="8" t="s">
        <v>65</v>
      </c>
      <c r="AS1" s="9" t="s">
        <v>66</v>
      </c>
      <c r="AT1" s="9" t="s">
        <v>67</v>
      </c>
      <c r="AU1" s="9" t="s">
        <v>68</v>
      </c>
      <c r="AV1" s="9" t="s">
        <v>69</v>
      </c>
      <c r="AW1" s="9" t="s">
        <v>70</v>
      </c>
      <c r="AX1" s="9" t="s">
        <v>71</v>
      </c>
      <c r="AY1" s="9" t="s">
        <v>72</v>
      </c>
      <c r="AZ1" s="9" t="s">
        <v>73</v>
      </c>
      <c r="BA1" s="9" t="s">
        <v>74</v>
      </c>
      <c r="BB1" s="9" t="s">
        <v>75</v>
      </c>
      <c r="BC1" s="9" t="s">
        <v>76</v>
      </c>
      <c r="BD1" s="9" t="s">
        <v>77</v>
      </c>
      <c r="BE1" s="9" t="s">
        <v>78</v>
      </c>
      <c r="BF1" s="9" t="s">
        <v>79</v>
      </c>
      <c r="BG1" s="9" t="s">
        <v>80</v>
      </c>
      <c r="BH1" s="9" t="s">
        <v>81</v>
      </c>
      <c r="BI1" s="9" t="s">
        <v>82</v>
      </c>
      <c r="BJ1" s="9" t="s">
        <v>83</v>
      </c>
      <c r="BK1" s="9" t="s">
        <v>84</v>
      </c>
      <c r="BL1" s="9" t="s">
        <v>85</v>
      </c>
      <c r="BM1" s="9" t="s">
        <v>86</v>
      </c>
      <c r="BN1" s="9" t="s">
        <v>87</v>
      </c>
      <c r="BO1" s="9" t="s">
        <v>88</v>
      </c>
      <c r="BP1" s="9" t="s">
        <v>89</v>
      </c>
      <c r="BQ1" s="9" t="s">
        <v>90</v>
      </c>
      <c r="BR1" s="9" t="s">
        <v>91</v>
      </c>
      <c r="BS1" s="9" t="s">
        <v>92</v>
      </c>
      <c r="BT1" s="9" t="s">
        <v>93</v>
      </c>
      <c r="BU1" s="9" t="s">
        <v>94</v>
      </c>
      <c r="BV1" s="9" t="s">
        <v>95</v>
      </c>
      <c r="BW1" s="9" t="s">
        <v>96</v>
      </c>
      <c r="BX1" s="9" t="s">
        <v>97</v>
      </c>
      <c r="BY1" s="9" t="s">
        <v>98</v>
      </c>
      <c r="BZ1" s="9" t="s">
        <v>99</v>
      </c>
      <c r="CA1" s="9" t="s">
        <v>100</v>
      </c>
      <c r="CB1" s="9" t="s">
        <v>101</v>
      </c>
      <c r="CC1" s="9" t="s">
        <v>102</v>
      </c>
      <c r="CD1" s="9" t="s">
        <v>103</v>
      </c>
      <c r="CE1" s="9" t="s">
        <v>104</v>
      </c>
      <c r="CF1" s="9" t="s">
        <v>105</v>
      </c>
      <c r="CG1" s="9" t="s">
        <v>106</v>
      </c>
      <c r="CH1" s="9" t="s">
        <v>107</v>
      </c>
      <c r="CI1" s="9" t="s">
        <v>108</v>
      </c>
      <c r="CJ1" s="9" t="s">
        <v>109</v>
      </c>
      <c r="CK1" s="9" t="s">
        <v>110</v>
      </c>
      <c r="CL1" s="9" t="s">
        <v>111</v>
      </c>
      <c r="CM1" s="9" t="s">
        <v>112</v>
      </c>
      <c r="CN1" s="9" t="s">
        <v>113</v>
      </c>
      <c r="CO1" s="9" t="s">
        <v>114</v>
      </c>
      <c r="CP1" s="9" t="s">
        <v>115</v>
      </c>
      <c r="CQ1" s="9" t="s">
        <v>116</v>
      </c>
      <c r="CR1" s="9" t="s">
        <v>117</v>
      </c>
      <c r="CS1" s="9" t="s">
        <v>118</v>
      </c>
      <c r="CT1" s="9" t="s">
        <v>119</v>
      </c>
      <c r="CU1" s="9" t="s">
        <v>120</v>
      </c>
      <c r="CV1" s="9" t="s">
        <v>121</v>
      </c>
      <c r="CW1" s="9" t="s">
        <v>122</v>
      </c>
      <c r="CX1" s="9" t="s">
        <v>123</v>
      </c>
      <c r="CY1" s="9" t="s">
        <v>124</v>
      </c>
      <c r="CZ1" s="9" t="s">
        <v>125</v>
      </c>
      <c r="DA1" s="10" t="s">
        <v>126</v>
      </c>
      <c r="DB1" s="10" t="s">
        <v>127</v>
      </c>
      <c r="DC1" s="10" t="s">
        <v>128</v>
      </c>
      <c r="DD1" s="10" t="s">
        <v>129</v>
      </c>
      <c r="DE1" s="10" t="s">
        <v>130</v>
      </c>
      <c r="DF1" s="10" t="s">
        <v>131</v>
      </c>
      <c r="DG1" s="10" t="s">
        <v>132</v>
      </c>
      <c r="DH1" s="10" t="s">
        <v>133</v>
      </c>
      <c r="DI1" s="10" t="s">
        <v>134</v>
      </c>
      <c r="DJ1" s="10" t="s">
        <v>135</v>
      </c>
      <c r="DK1" s="10" t="s">
        <v>136</v>
      </c>
      <c r="DL1" s="10" t="s">
        <v>137</v>
      </c>
      <c r="DM1" s="11" t="s">
        <v>138</v>
      </c>
      <c r="DN1" s="10" t="s">
        <v>139</v>
      </c>
      <c r="DO1" s="10" t="s">
        <v>102</v>
      </c>
      <c r="DP1" s="10" t="s">
        <v>140</v>
      </c>
      <c r="DQ1" s="10" t="s">
        <v>141</v>
      </c>
      <c r="DR1" s="10" t="s">
        <v>142</v>
      </c>
      <c r="DS1" s="10" t="s">
        <v>143</v>
      </c>
      <c r="DT1" s="10" t="s">
        <v>144</v>
      </c>
      <c r="DU1" s="10" t="s">
        <v>145</v>
      </c>
      <c r="DV1" s="10" t="s">
        <v>146</v>
      </c>
      <c r="DW1" s="10" t="s">
        <v>147</v>
      </c>
      <c r="DX1" s="10" t="s">
        <v>148</v>
      </c>
      <c r="DY1" s="10" t="s">
        <v>149</v>
      </c>
      <c r="DZ1" s="10" t="s">
        <v>150</v>
      </c>
      <c r="EA1" s="10" t="s">
        <v>151</v>
      </c>
      <c r="EB1" s="10" t="s">
        <v>152</v>
      </c>
      <c r="EC1" s="10" t="s">
        <v>153</v>
      </c>
      <c r="ED1" s="10" t="s">
        <v>154</v>
      </c>
      <c r="EE1" s="10" t="s">
        <v>155</v>
      </c>
      <c r="EF1" s="10" t="s">
        <v>156</v>
      </c>
      <c r="EG1" s="10" t="s">
        <v>157</v>
      </c>
      <c r="EH1" s="10" t="s">
        <v>72</v>
      </c>
      <c r="EI1" s="10" t="s">
        <v>158</v>
      </c>
      <c r="EJ1" s="10" t="s">
        <v>159</v>
      </c>
      <c r="EK1" s="10" t="s">
        <v>160</v>
      </c>
      <c r="EL1" s="10" t="s">
        <v>161</v>
      </c>
      <c r="EM1" s="10" t="s">
        <v>162</v>
      </c>
      <c r="EN1" s="10" t="s">
        <v>75</v>
      </c>
      <c r="EO1" s="10" t="s">
        <v>163</v>
      </c>
      <c r="EP1" s="12" t="s">
        <v>164</v>
      </c>
      <c r="EQ1" s="10" t="s">
        <v>165</v>
      </c>
      <c r="ER1" s="10" t="s">
        <v>166</v>
      </c>
      <c r="ES1" s="10" t="s">
        <v>167</v>
      </c>
      <c r="ET1" s="10" t="s">
        <v>168</v>
      </c>
      <c r="EU1" s="10" t="s">
        <v>169</v>
      </c>
      <c r="EV1" s="10" t="s">
        <v>170</v>
      </c>
      <c r="EW1" s="10" t="s">
        <v>171</v>
      </c>
      <c r="EX1" s="10" t="s">
        <v>172</v>
      </c>
      <c r="EY1" s="10" t="s">
        <v>173</v>
      </c>
      <c r="EZ1" s="10" t="s">
        <v>174</v>
      </c>
      <c r="FA1" s="13" t="s">
        <v>175</v>
      </c>
      <c r="FB1" s="13" t="s">
        <v>176</v>
      </c>
      <c r="FC1" s="13" t="s">
        <v>177</v>
      </c>
      <c r="FD1" s="10" t="s">
        <v>178</v>
      </c>
      <c r="FE1" s="10" t="s">
        <v>179</v>
      </c>
      <c r="FF1" s="10" t="s">
        <v>180</v>
      </c>
      <c r="FG1" s="10" t="s">
        <v>181</v>
      </c>
      <c r="FH1" s="10" t="s">
        <v>182</v>
      </c>
      <c r="FI1" s="14" t="s">
        <v>183</v>
      </c>
      <c r="FJ1" s="14" t="s">
        <v>184</v>
      </c>
      <c r="FK1" s="14" t="s">
        <v>185</v>
      </c>
      <c r="FL1" s="14" t="s">
        <v>186</v>
      </c>
      <c r="FM1" s="14" t="s">
        <v>187</v>
      </c>
      <c r="FN1" s="14" t="s">
        <v>188</v>
      </c>
      <c r="FO1" s="14" t="s">
        <v>189</v>
      </c>
      <c r="FP1" s="14" t="s">
        <v>190</v>
      </c>
      <c r="FQ1" s="14" t="s">
        <v>191</v>
      </c>
      <c r="FR1" s="14" t="s">
        <v>192</v>
      </c>
      <c r="FS1" s="14" t="s">
        <v>193</v>
      </c>
      <c r="FT1" s="14" t="s">
        <v>194</v>
      </c>
      <c r="FU1" s="14" t="s">
        <v>195</v>
      </c>
      <c r="FV1" s="14" t="s">
        <v>196</v>
      </c>
      <c r="FW1" s="14" t="s">
        <v>197</v>
      </c>
      <c r="FX1" s="14" t="s">
        <v>198</v>
      </c>
      <c r="FY1" s="14" t="s">
        <v>199</v>
      </c>
      <c r="FZ1" s="14" t="s">
        <v>200</v>
      </c>
      <c r="GA1" s="14" t="s">
        <v>201</v>
      </c>
      <c r="GB1" s="14" t="s">
        <v>202</v>
      </c>
      <c r="GC1" s="14" t="s">
        <v>203</v>
      </c>
      <c r="GD1" s="14" t="s">
        <v>204</v>
      </c>
      <c r="GE1" s="14" t="s">
        <v>205</v>
      </c>
      <c r="GF1" s="14" t="s">
        <v>206</v>
      </c>
      <c r="GG1" s="14" t="s">
        <v>207</v>
      </c>
      <c r="GH1" s="14" t="s">
        <v>208</v>
      </c>
      <c r="GI1" s="14" t="s">
        <v>209</v>
      </c>
      <c r="GJ1" s="14" t="s">
        <v>210</v>
      </c>
      <c r="GK1" s="14" t="s">
        <v>211</v>
      </c>
      <c r="GL1" s="14" t="s">
        <v>212</v>
      </c>
      <c r="GM1" s="14" t="s">
        <v>213</v>
      </c>
      <c r="GN1" s="14" t="s">
        <v>214</v>
      </c>
      <c r="GO1" s="14" t="s">
        <v>215</v>
      </c>
      <c r="GP1" s="14" t="s">
        <v>216</v>
      </c>
      <c r="GQ1" s="14" t="s">
        <v>217</v>
      </c>
      <c r="GR1" s="14" t="s">
        <v>218</v>
      </c>
      <c r="GS1" s="14" t="s">
        <v>219</v>
      </c>
      <c r="GT1" s="14" t="s">
        <v>220</v>
      </c>
      <c r="GU1" s="14" t="s">
        <v>221</v>
      </c>
      <c r="GV1" s="14" t="s">
        <v>222</v>
      </c>
      <c r="GW1" s="14" t="s">
        <v>223</v>
      </c>
      <c r="GX1" s="14" t="s">
        <v>224</v>
      </c>
      <c r="GY1" s="14" t="s">
        <v>225</v>
      </c>
      <c r="GZ1" s="14" t="s">
        <v>226</v>
      </c>
      <c r="HA1" s="14" t="s">
        <v>227</v>
      </c>
      <c r="HB1" s="14" t="s">
        <v>228</v>
      </c>
      <c r="HC1" s="14" t="s">
        <v>229</v>
      </c>
      <c r="HD1" s="14" t="s">
        <v>230</v>
      </c>
      <c r="HE1" s="14" t="s">
        <v>231</v>
      </c>
      <c r="HF1" s="14" t="s">
        <v>232</v>
      </c>
      <c r="HG1" s="14" t="s">
        <v>233</v>
      </c>
      <c r="HH1" s="14" t="s">
        <v>234</v>
      </c>
      <c r="HI1" s="14" t="s">
        <v>235</v>
      </c>
      <c r="HJ1" s="14" t="s">
        <v>236</v>
      </c>
      <c r="HK1" s="14" t="s">
        <v>237</v>
      </c>
      <c r="HL1" s="14" t="s">
        <v>238</v>
      </c>
      <c r="HM1" s="14" t="s">
        <v>239</v>
      </c>
      <c r="HN1" s="14" t="s">
        <v>240</v>
      </c>
      <c r="HO1" s="14" t="s">
        <v>241</v>
      </c>
      <c r="HP1" s="14" t="s">
        <v>242</v>
      </c>
      <c r="HQ1" s="14" t="s">
        <v>243</v>
      </c>
      <c r="HR1" s="14" t="s">
        <v>244</v>
      </c>
      <c r="HS1" s="14" t="s">
        <v>245</v>
      </c>
      <c r="HT1" s="14" t="s">
        <v>246</v>
      </c>
      <c r="HU1" s="14" t="s">
        <v>247</v>
      </c>
      <c r="HV1" s="14" t="s">
        <v>248</v>
      </c>
      <c r="HW1" s="14" t="s">
        <v>249</v>
      </c>
      <c r="HX1" s="14" t="s">
        <v>208</v>
      </c>
      <c r="HY1" s="14" t="s">
        <v>250</v>
      </c>
      <c r="HZ1" s="14" t="s">
        <v>251</v>
      </c>
      <c r="IA1" s="14" t="s">
        <v>252</v>
      </c>
      <c r="IB1" s="14" t="s">
        <v>253</v>
      </c>
      <c r="IC1" s="14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s="15" t="s">
        <v>260</v>
      </c>
      <c r="IJ1" t="s">
        <v>261</v>
      </c>
      <c r="IK1" t="s">
        <v>262</v>
      </c>
      <c r="IL1" t="s">
        <v>263</v>
      </c>
      <c r="IM1" s="15" t="s">
        <v>264</v>
      </c>
      <c r="IN1" t="s">
        <v>132</v>
      </c>
      <c r="IO1" t="s">
        <v>265</v>
      </c>
      <c r="IP1" t="s">
        <v>266</v>
      </c>
      <c r="IQ1" t="s">
        <v>267</v>
      </c>
      <c r="IR1" t="s">
        <v>268</v>
      </c>
      <c r="IS1" t="s">
        <v>269</v>
      </c>
      <c r="IT1" t="s">
        <v>270</v>
      </c>
      <c r="IU1" t="s">
        <v>271</v>
      </c>
      <c r="IV1" t="s">
        <v>272</v>
      </c>
      <c r="IW1" t="s">
        <v>273</v>
      </c>
      <c r="IX1" s="14" t="s">
        <v>51</v>
      </c>
      <c r="IY1" s="14" t="s">
        <v>274</v>
      </c>
      <c r="IZ1" s="14" t="s">
        <v>102</v>
      </c>
      <c r="JA1" s="14" t="s">
        <v>275</v>
      </c>
      <c r="JB1" s="14" t="s">
        <v>276</v>
      </c>
      <c r="JC1" s="14" t="s">
        <v>277</v>
      </c>
      <c r="JD1" s="14" t="s">
        <v>153</v>
      </c>
      <c r="JE1" s="14" t="s">
        <v>126</v>
      </c>
      <c r="JF1" s="14" t="s">
        <v>278</v>
      </c>
      <c r="JG1" s="14" t="s">
        <v>279</v>
      </c>
      <c r="JH1" s="14" t="s">
        <v>280</v>
      </c>
      <c r="JI1" s="14" t="s">
        <v>281</v>
      </c>
      <c r="JJ1" s="14" t="s">
        <v>282</v>
      </c>
      <c r="JK1" s="14" t="s">
        <v>283</v>
      </c>
      <c r="JL1" s="14" t="s">
        <v>284</v>
      </c>
      <c r="JM1" s="14" t="s">
        <v>285</v>
      </c>
      <c r="JN1" s="14" t="s">
        <v>286</v>
      </c>
      <c r="JO1" s="14" t="s">
        <v>75</v>
      </c>
      <c r="JP1" s="14" t="s">
        <v>287</v>
      </c>
      <c r="JQ1" s="14" t="s">
        <v>288</v>
      </c>
      <c r="JR1" s="14" t="s">
        <v>289</v>
      </c>
      <c r="JS1" s="14" t="s">
        <v>290</v>
      </c>
      <c r="JT1" s="14" t="s">
        <v>291</v>
      </c>
      <c r="JU1" s="14" t="s">
        <v>292</v>
      </c>
      <c r="JV1" s="14" t="s">
        <v>293</v>
      </c>
      <c r="JW1" s="14" t="s">
        <v>294</v>
      </c>
      <c r="JX1" s="14" t="s">
        <v>295</v>
      </c>
      <c r="JY1" s="14" t="s">
        <v>296</v>
      </c>
      <c r="JZ1" s="14" t="s">
        <v>297</v>
      </c>
      <c r="KA1" s="14" t="s">
        <v>298</v>
      </c>
      <c r="KB1" s="14" t="s">
        <v>299</v>
      </c>
      <c r="KC1" s="14" t="s">
        <v>300</v>
      </c>
      <c r="KD1" s="14" t="s">
        <v>301</v>
      </c>
      <c r="KE1" s="14" t="s">
        <v>302</v>
      </c>
      <c r="KF1" s="14" t="s">
        <v>303</v>
      </c>
      <c r="KG1" s="14" t="s">
        <v>304</v>
      </c>
      <c r="KH1" s="14" t="s">
        <v>305</v>
      </c>
      <c r="KI1" s="14" t="s">
        <v>175</v>
      </c>
      <c r="KJ1" s="14" t="s">
        <v>219</v>
      </c>
      <c r="KK1" s="14" t="s">
        <v>306</v>
      </c>
      <c r="KL1" s="14" t="s">
        <v>307</v>
      </c>
      <c r="KM1" s="14" t="s">
        <v>308</v>
      </c>
      <c r="KN1" s="14" t="s">
        <v>309</v>
      </c>
      <c r="KO1" s="14" t="s">
        <v>310</v>
      </c>
      <c r="KP1" s="14" t="s">
        <v>311</v>
      </c>
      <c r="KQ1" s="14" t="s">
        <v>312</v>
      </c>
      <c r="KR1" s="14" t="s">
        <v>313</v>
      </c>
      <c r="KS1" s="16" t="s">
        <v>314</v>
      </c>
      <c r="KT1" s="16" t="s">
        <v>315</v>
      </c>
      <c r="KU1" s="16" t="s">
        <v>316</v>
      </c>
      <c r="KV1" s="16" t="s">
        <v>317</v>
      </c>
      <c r="KW1" s="16" t="s">
        <v>318</v>
      </c>
      <c r="KX1" s="16" t="s">
        <v>147</v>
      </c>
      <c r="KY1" s="16" t="s">
        <v>319</v>
      </c>
      <c r="KZ1" s="16" t="s">
        <v>320</v>
      </c>
      <c r="LA1" s="16" t="s">
        <v>321</v>
      </c>
      <c r="LB1" s="16" t="s">
        <v>322</v>
      </c>
      <c r="LC1" s="16" t="s">
        <v>323</v>
      </c>
      <c r="LD1" s="16" t="s">
        <v>324</v>
      </c>
      <c r="LE1" s="16" t="s">
        <v>325</v>
      </c>
      <c r="LF1" s="16" t="s">
        <v>326</v>
      </c>
      <c r="LG1" s="16" t="s">
        <v>327</v>
      </c>
      <c r="LH1" s="16" t="s">
        <v>328</v>
      </c>
      <c r="LI1" s="16" t="s">
        <v>329</v>
      </c>
      <c r="LJ1" s="16" t="s">
        <v>330</v>
      </c>
      <c r="LK1" s="16" t="s">
        <v>331</v>
      </c>
      <c r="LL1" s="16" t="s">
        <v>332</v>
      </c>
      <c r="LM1" s="16" t="s">
        <v>333</v>
      </c>
      <c r="LN1" s="16" t="s">
        <v>334</v>
      </c>
      <c r="LO1" s="16" t="s">
        <v>335</v>
      </c>
      <c r="LP1" s="14" t="s">
        <v>336</v>
      </c>
      <c r="LQ1" s="14" t="s">
        <v>337</v>
      </c>
      <c r="LR1" s="14" t="s">
        <v>338</v>
      </c>
      <c r="LS1" s="14" t="s">
        <v>339</v>
      </c>
      <c r="LT1" s="14" t="s">
        <v>340</v>
      </c>
      <c r="LU1" s="14" t="s">
        <v>341</v>
      </c>
      <c r="LV1" s="14" t="s">
        <v>342</v>
      </c>
      <c r="LW1" s="14" t="s">
        <v>343</v>
      </c>
      <c r="LX1" s="14" t="s">
        <v>344</v>
      </c>
      <c r="LY1" s="14" t="s">
        <v>345</v>
      </c>
      <c r="LZ1" s="14" t="s">
        <v>346</v>
      </c>
      <c r="MA1" s="14" t="s">
        <v>347</v>
      </c>
      <c r="MB1" s="14" t="s">
        <v>348</v>
      </c>
      <c r="MC1" s="14" t="s">
        <v>349</v>
      </c>
      <c r="MD1" s="14" t="s">
        <v>350</v>
      </c>
      <c r="ME1" s="14" t="s">
        <v>351</v>
      </c>
      <c r="MF1" s="14" t="s">
        <v>352</v>
      </c>
      <c r="MG1" s="14" t="s">
        <v>353</v>
      </c>
      <c r="MH1" s="14" t="s">
        <v>354</v>
      </c>
      <c r="MI1" s="14" t="s">
        <v>355</v>
      </c>
      <c r="MJ1" s="14" t="s">
        <v>356</v>
      </c>
      <c r="MK1" s="14" t="s">
        <v>267</v>
      </c>
      <c r="ML1" s="14" t="s">
        <v>357</v>
      </c>
      <c r="MM1" s="14" t="s">
        <v>358</v>
      </c>
      <c r="MN1" s="14" t="s">
        <v>359</v>
      </c>
      <c r="MO1" s="14" t="s">
        <v>360</v>
      </c>
      <c r="MP1" s="14" t="s">
        <v>361</v>
      </c>
      <c r="MQ1" s="14" t="s">
        <v>362</v>
      </c>
      <c r="MR1" s="14" t="s">
        <v>363</v>
      </c>
      <c r="MS1" s="14" t="s">
        <v>364</v>
      </c>
      <c r="MT1" s="14" t="s">
        <v>365</v>
      </c>
      <c r="MU1" s="14" t="s">
        <v>366</v>
      </c>
      <c r="MV1" s="14" t="s">
        <v>367</v>
      </c>
      <c r="MW1" s="14" t="s">
        <v>368</v>
      </c>
      <c r="MX1" s="14" t="s">
        <v>369</v>
      </c>
      <c r="MY1" s="14" t="s">
        <v>370</v>
      </c>
      <c r="MZ1" s="14" t="s">
        <v>371</v>
      </c>
      <c r="NA1" s="14" t="s">
        <v>372</v>
      </c>
      <c r="NB1" s="14" t="s">
        <v>98</v>
      </c>
      <c r="NC1" s="14" t="s">
        <v>373</v>
      </c>
      <c r="ND1" s="14" t="s">
        <v>374</v>
      </c>
      <c r="NE1" s="14" t="s">
        <v>375</v>
      </c>
      <c r="NF1" s="14" t="s">
        <v>376</v>
      </c>
      <c r="NG1" s="14" t="s">
        <v>377</v>
      </c>
      <c r="NH1" s="14" t="s">
        <v>378</v>
      </c>
      <c r="NI1" s="14" t="s">
        <v>379</v>
      </c>
      <c r="NJ1" s="14" t="s">
        <v>380</v>
      </c>
      <c r="NK1" s="14" t="s">
        <v>381</v>
      </c>
      <c r="NL1" s="14" t="s">
        <v>382</v>
      </c>
      <c r="NM1" s="14" t="s">
        <v>383</v>
      </c>
      <c r="NN1" s="14" t="s">
        <v>384</v>
      </c>
      <c r="NO1" s="14" t="s">
        <v>385</v>
      </c>
      <c r="NP1" s="14" t="s">
        <v>386</v>
      </c>
      <c r="NQ1" s="14" t="s">
        <v>387</v>
      </c>
      <c r="NR1" s="14" t="s">
        <v>388</v>
      </c>
      <c r="NS1" s="14" t="s">
        <v>389</v>
      </c>
      <c r="NT1" s="14" t="s">
        <v>390</v>
      </c>
      <c r="NU1" s="14" t="s">
        <v>391</v>
      </c>
      <c r="NV1" s="14" t="s">
        <v>81</v>
      </c>
      <c r="NW1" s="14" t="s">
        <v>392</v>
      </c>
      <c r="NX1" s="14" t="s">
        <v>351</v>
      </c>
      <c r="NY1" s="14" t="s">
        <v>393</v>
      </c>
      <c r="NZ1" s="14" t="s">
        <v>394</v>
      </c>
      <c r="OA1" s="14" t="s">
        <v>395</v>
      </c>
      <c r="OB1" s="14" t="s">
        <v>396</v>
      </c>
      <c r="OC1" s="14" t="s">
        <v>397</v>
      </c>
      <c r="OD1" s="14" t="s">
        <v>398</v>
      </c>
      <c r="OE1" s="14" t="s">
        <v>399</v>
      </c>
      <c r="OF1" s="14" t="s">
        <v>400</v>
      </c>
      <c r="OG1" s="14" t="s">
        <v>401</v>
      </c>
      <c r="OH1" s="14" t="s">
        <v>402</v>
      </c>
      <c r="OI1" s="14" t="s">
        <v>403</v>
      </c>
      <c r="OJ1" s="14" t="s">
        <v>404</v>
      </c>
      <c r="OK1" s="14" t="s">
        <v>405</v>
      </c>
      <c r="OL1" s="14" t="s">
        <v>299</v>
      </c>
      <c r="OM1" s="14" t="s">
        <v>406</v>
      </c>
      <c r="ON1" s="14" t="s">
        <v>407</v>
      </c>
      <c r="OO1" s="17" t="s">
        <v>408</v>
      </c>
      <c r="OP1" s="17" t="s">
        <v>409</v>
      </c>
      <c r="OQ1" s="17" t="s">
        <v>410</v>
      </c>
      <c r="OR1" s="17" t="s">
        <v>411</v>
      </c>
      <c r="OS1" s="17" t="s">
        <v>412</v>
      </c>
      <c r="OT1" s="17" t="s">
        <v>413</v>
      </c>
      <c r="OU1" s="17" t="s">
        <v>414</v>
      </c>
      <c r="OV1" s="17" t="s">
        <v>415</v>
      </c>
      <c r="OW1" s="17" t="s">
        <v>416</v>
      </c>
      <c r="OX1" s="17" t="s">
        <v>417</v>
      </c>
      <c r="OY1" s="17" t="s">
        <v>418</v>
      </c>
      <c r="OZ1" s="17" t="s">
        <v>419</v>
      </c>
      <c r="PA1" s="17" t="s">
        <v>420</v>
      </c>
      <c r="PB1" s="17" t="s">
        <v>421</v>
      </c>
      <c r="PC1" s="17" t="s">
        <v>422</v>
      </c>
      <c r="PD1" s="17" t="s">
        <v>423</v>
      </c>
      <c r="PE1" s="17" t="s">
        <v>424</v>
      </c>
      <c r="PF1" s="18" t="s">
        <v>425</v>
      </c>
      <c r="PG1" s="17" t="s">
        <v>426</v>
      </c>
      <c r="PH1" s="17" t="s">
        <v>427</v>
      </c>
      <c r="PI1" s="17" t="s">
        <v>428</v>
      </c>
      <c r="PJ1" s="17" t="s">
        <v>429</v>
      </c>
      <c r="PK1" s="17" t="s">
        <v>430</v>
      </c>
      <c r="PL1" s="17" t="s">
        <v>431</v>
      </c>
      <c r="PM1" s="17" t="s">
        <v>432</v>
      </c>
      <c r="PN1" s="17" t="s">
        <v>217</v>
      </c>
      <c r="PO1" s="17" t="s">
        <v>433</v>
      </c>
      <c r="PP1" s="17" t="s">
        <v>434</v>
      </c>
      <c r="PQ1" s="17" t="s">
        <v>435</v>
      </c>
      <c r="PR1" s="17" t="s">
        <v>436</v>
      </c>
      <c r="PS1" s="17" t="s">
        <v>437</v>
      </c>
      <c r="PT1" s="17" t="s">
        <v>438</v>
      </c>
      <c r="PU1" s="17" t="s">
        <v>439</v>
      </c>
      <c r="PV1" s="17" t="s">
        <v>440</v>
      </c>
      <c r="PW1" s="17" t="s">
        <v>441</v>
      </c>
      <c r="PX1" s="19" t="s">
        <v>442</v>
      </c>
      <c r="PY1" s="17" t="s">
        <v>443</v>
      </c>
      <c r="PZ1" s="17" t="s">
        <v>444</v>
      </c>
      <c r="QA1" s="17" t="s">
        <v>445</v>
      </c>
      <c r="QB1" s="17" t="s">
        <v>446</v>
      </c>
      <c r="QC1" s="17" t="s">
        <v>447</v>
      </c>
      <c r="QD1" s="17" t="s">
        <v>448</v>
      </c>
      <c r="QE1" s="17" t="s">
        <v>449</v>
      </c>
      <c r="QF1" s="17" t="s">
        <v>450</v>
      </c>
      <c r="QG1" s="17" t="s">
        <v>451</v>
      </c>
      <c r="QH1" s="17" t="s">
        <v>452</v>
      </c>
      <c r="QI1" s="20" t="s">
        <v>453</v>
      </c>
      <c r="QJ1" s="20" t="s">
        <v>454</v>
      </c>
      <c r="QK1" s="20" t="s">
        <v>455</v>
      </c>
      <c r="QL1" s="20" t="s">
        <v>456</v>
      </c>
      <c r="QM1" s="20" t="s">
        <v>457</v>
      </c>
      <c r="QN1" s="20" t="s">
        <v>458</v>
      </c>
      <c r="QO1" s="20" t="s">
        <v>459</v>
      </c>
      <c r="QP1" s="20" t="s">
        <v>460</v>
      </c>
      <c r="QQ1" s="20" t="s">
        <v>461</v>
      </c>
      <c r="QR1" s="20" t="s">
        <v>462</v>
      </c>
      <c r="QS1" s="20" t="s">
        <v>463</v>
      </c>
      <c r="QT1" s="20" t="s">
        <v>464</v>
      </c>
      <c r="QU1" s="20" t="s">
        <v>465</v>
      </c>
      <c r="QV1" s="20" t="s">
        <v>466</v>
      </c>
      <c r="QW1" s="20" t="s">
        <v>467</v>
      </c>
      <c r="QX1" s="20" t="s">
        <v>468</v>
      </c>
      <c r="QY1" s="20" t="s">
        <v>469</v>
      </c>
      <c r="QZ1" s="20" t="s">
        <v>470</v>
      </c>
      <c r="RA1" s="20" t="s">
        <v>471</v>
      </c>
      <c r="RB1" s="20" t="s">
        <v>472</v>
      </c>
      <c r="RC1" s="20" t="s">
        <v>473</v>
      </c>
      <c r="RD1" s="20" t="s">
        <v>474</v>
      </c>
      <c r="RE1" s="20" t="s">
        <v>475</v>
      </c>
      <c r="RF1" s="20" t="s">
        <v>275</v>
      </c>
      <c r="RG1" s="20" t="s">
        <v>476</v>
      </c>
      <c r="RH1" s="20" t="s">
        <v>477</v>
      </c>
      <c r="RI1" s="20" t="s">
        <v>348</v>
      </c>
      <c r="RJ1" s="20" t="s">
        <v>71</v>
      </c>
      <c r="RK1" s="20" t="s">
        <v>478</v>
      </c>
      <c r="RL1" s="20" t="s">
        <v>479</v>
      </c>
      <c r="RM1" s="20" t="s">
        <v>480</v>
      </c>
      <c r="RN1" s="20" t="s">
        <v>481</v>
      </c>
      <c r="RO1" s="20" t="s">
        <v>482</v>
      </c>
      <c r="RP1" s="20" t="s">
        <v>51</v>
      </c>
      <c r="RQ1" s="20" t="s">
        <v>483</v>
      </c>
      <c r="RR1" s="20" t="s">
        <v>484</v>
      </c>
      <c r="RS1" s="20" t="s">
        <v>267</v>
      </c>
      <c r="RT1" s="20" t="s">
        <v>485</v>
      </c>
      <c r="RU1" s="20" t="s">
        <v>486</v>
      </c>
      <c r="RV1" s="21" t="s">
        <v>487</v>
      </c>
      <c r="RW1" s="21" t="s">
        <v>488</v>
      </c>
      <c r="RX1" s="21" t="s">
        <v>153</v>
      </c>
      <c r="RY1" s="21" t="s">
        <v>489</v>
      </c>
      <c r="RZ1" s="21" t="s">
        <v>490</v>
      </c>
      <c r="SA1" s="21" t="s">
        <v>491</v>
      </c>
      <c r="SB1" s="21" t="s">
        <v>492</v>
      </c>
      <c r="SC1" s="21" t="s">
        <v>493</v>
      </c>
      <c r="SD1" s="21" t="s">
        <v>494</v>
      </c>
      <c r="SE1" s="21" t="s">
        <v>495</v>
      </c>
      <c r="SF1" s="21" t="s">
        <v>175</v>
      </c>
      <c r="SG1" s="21" t="s">
        <v>496</v>
      </c>
      <c r="SH1" s="21" t="s">
        <v>125</v>
      </c>
      <c r="SI1" s="21" t="s">
        <v>497</v>
      </c>
      <c r="SJ1" s="21" t="s">
        <v>498</v>
      </c>
      <c r="SK1" s="21" t="s">
        <v>499</v>
      </c>
      <c r="SL1" s="21" t="s">
        <v>500</v>
      </c>
      <c r="SM1" s="21" t="s">
        <v>501</v>
      </c>
      <c r="SN1" s="21" t="s">
        <v>502</v>
      </c>
      <c r="SO1" s="22" t="s">
        <v>503</v>
      </c>
      <c r="SP1" s="22" t="s">
        <v>504</v>
      </c>
      <c r="SQ1" s="21" t="s">
        <v>505</v>
      </c>
      <c r="SR1" s="21" t="s">
        <v>506</v>
      </c>
      <c r="SS1" s="21" t="s">
        <v>507</v>
      </c>
      <c r="ST1" s="21" t="s">
        <v>508</v>
      </c>
      <c r="SU1" s="21" t="s">
        <v>152</v>
      </c>
      <c r="SV1" s="21" t="s">
        <v>142</v>
      </c>
      <c r="SW1" s="22" t="s">
        <v>299</v>
      </c>
      <c r="SX1" s="21" t="s">
        <v>509</v>
      </c>
      <c r="SY1" s="22" t="s">
        <v>510</v>
      </c>
      <c r="SZ1" s="22" t="s">
        <v>511</v>
      </c>
      <c r="TA1" s="21" t="s">
        <v>512</v>
      </c>
      <c r="TB1" s="21" t="s">
        <v>513</v>
      </c>
      <c r="TC1" s="21" t="s">
        <v>514</v>
      </c>
      <c r="TD1" s="21" t="s">
        <v>515</v>
      </c>
      <c r="TE1" s="21" t="s">
        <v>277</v>
      </c>
      <c r="TF1" s="21" t="s">
        <v>516</v>
      </c>
      <c r="TG1" s="21" t="s">
        <v>384</v>
      </c>
      <c r="TH1" s="14" t="s">
        <v>126</v>
      </c>
      <c r="TI1" s="14" t="s">
        <v>517</v>
      </c>
      <c r="TJ1" s="14" t="s">
        <v>518</v>
      </c>
      <c r="TK1" s="14" t="s">
        <v>519</v>
      </c>
      <c r="TL1" s="14" t="s">
        <v>520</v>
      </c>
      <c r="TM1" s="14" t="s">
        <v>521</v>
      </c>
      <c r="TN1" s="14" t="s">
        <v>522</v>
      </c>
      <c r="TO1" s="14" t="s">
        <v>489</v>
      </c>
      <c r="TP1" s="14" t="s">
        <v>275</v>
      </c>
      <c r="TQ1" s="14" t="s">
        <v>523</v>
      </c>
      <c r="TR1" s="14" t="s">
        <v>411</v>
      </c>
      <c r="TS1" s="14" t="s">
        <v>524</v>
      </c>
      <c r="TT1" s="14" t="s">
        <v>525</v>
      </c>
      <c r="TU1" s="14" t="s">
        <v>526</v>
      </c>
      <c r="TV1" s="14" t="s">
        <v>527</v>
      </c>
      <c r="TW1" s="14" t="s">
        <v>528</v>
      </c>
      <c r="TX1" s="23" t="s">
        <v>529</v>
      </c>
      <c r="TY1" s="23" t="s">
        <v>530</v>
      </c>
      <c r="TZ1" s="23" t="s">
        <v>531</v>
      </c>
      <c r="UA1" s="23" t="s">
        <v>532</v>
      </c>
      <c r="UB1" s="23" t="s">
        <v>533</v>
      </c>
      <c r="UC1" s="23" t="s">
        <v>534</v>
      </c>
      <c r="UD1" s="23" t="s">
        <v>535</v>
      </c>
      <c r="UE1" s="23" t="s">
        <v>536</v>
      </c>
      <c r="UF1" s="23" t="s">
        <v>126</v>
      </c>
      <c r="UG1" s="23" t="s">
        <v>537</v>
      </c>
      <c r="UH1" s="23" t="s">
        <v>538</v>
      </c>
      <c r="UI1" s="24" t="s">
        <v>516</v>
      </c>
      <c r="UJ1" s="24" t="s">
        <v>539</v>
      </c>
      <c r="UK1" s="24" t="s">
        <v>540</v>
      </c>
      <c r="UL1" s="25" t="s">
        <v>541</v>
      </c>
      <c r="UM1" s="26" t="s">
        <v>542</v>
      </c>
      <c r="UN1" s="26" t="s">
        <v>543</v>
      </c>
      <c r="UO1" s="26" t="s">
        <v>544</v>
      </c>
      <c r="UP1" s="26" t="s">
        <v>275</v>
      </c>
      <c r="UQ1" s="26" t="s">
        <v>153</v>
      </c>
      <c r="UR1" s="26" t="s">
        <v>520</v>
      </c>
      <c r="US1" s="26" t="s">
        <v>542</v>
      </c>
      <c r="UT1" s="26" t="s">
        <v>545</v>
      </c>
      <c r="UU1" s="26" t="s">
        <v>139</v>
      </c>
      <c r="UV1" s="25" t="s">
        <v>546</v>
      </c>
      <c r="UW1" s="27" t="s">
        <v>547</v>
      </c>
      <c r="UX1" s="28" t="s">
        <v>548</v>
      </c>
      <c r="UY1" s="28" t="s">
        <v>549</v>
      </c>
      <c r="UZ1" s="28" t="s">
        <v>550</v>
      </c>
      <c r="VA1" s="29" t="s">
        <v>551</v>
      </c>
      <c r="VB1" s="28" t="s">
        <v>552</v>
      </c>
      <c r="VC1" s="28" t="s">
        <v>553</v>
      </c>
      <c r="VD1" s="30" t="s">
        <v>554</v>
      </c>
      <c r="VE1" s="30" t="s">
        <v>555</v>
      </c>
      <c r="VF1" s="28" t="s">
        <v>556</v>
      </c>
      <c r="VG1" s="28" t="s">
        <v>557</v>
      </c>
      <c r="VH1" s="28" t="s">
        <v>558</v>
      </c>
      <c r="VI1" s="28" t="s">
        <v>559</v>
      </c>
      <c r="VJ1" s="28" t="s">
        <v>560</v>
      </c>
      <c r="VK1" s="29" t="s">
        <v>561</v>
      </c>
      <c r="VL1" s="29" t="s">
        <v>562</v>
      </c>
      <c r="VM1" s="28" t="s">
        <v>563</v>
      </c>
      <c r="VN1" s="28" t="s">
        <v>564</v>
      </c>
      <c r="VO1" s="28" t="s">
        <v>565</v>
      </c>
      <c r="VP1" s="28" t="s">
        <v>566</v>
      </c>
      <c r="VQ1" s="28" t="s">
        <v>567</v>
      </c>
      <c r="VR1" s="28" t="s">
        <v>568</v>
      </c>
      <c r="VS1" s="28" t="s">
        <v>569</v>
      </c>
      <c r="VT1" s="28" t="s">
        <v>570</v>
      </c>
      <c r="VU1" s="28" t="s">
        <v>411</v>
      </c>
      <c r="VV1" s="28" t="s">
        <v>571</v>
      </c>
      <c r="VW1" s="28" t="s">
        <v>572</v>
      </c>
      <c r="VX1" s="28" t="s">
        <v>573</v>
      </c>
      <c r="VY1" s="28" t="s">
        <v>574</v>
      </c>
      <c r="VZ1" s="28" t="s">
        <v>575</v>
      </c>
      <c r="WA1" s="28" t="s">
        <v>191</v>
      </c>
      <c r="WB1" s="28" t="s">
        <v>576</v>
      </c>
      <c r="WC1" s="28" t="s">
        <v>577</v>
      </c>
      <c r="WD1" s="28" t="s">
        <v>578</v>
      </c>
      <c r="WE1" s="28" t="s">
        <v>579</v>
      </c>
      <c r="WF1" s="28" t="s">
        <v>580</v>
      </c>
      <c r="WG1" s="28" t="s">
        <v>581</v>
      </c>
      <c r="WH1" s="28" t="s">
        <v>582</v>
      </c>
      <c r="WI1" s="28" t="s">
        <v>583</v>
      </c>
      <c r="WJ1" s="28" t="s">
        <v>584</v>
      </c>
      <c r="WK1" s="28" t="s">
        <v>585</v>
      </c>
      <c r="WL1" s="28" t="s">
        <v>586</v>
      </c>
      <c r="WM1" s="28" t="s">
        <v>587</v>
      </c>
      <c r="WN1" s="28" t="s">
        <v>588</v>
      </c>
      <c r="WO1" s="28" t="s">
        <v>589</v>
      </c>
      <c r="WP1" s="28" t="s">
        <v>590</v>
      </c>
      <c r="WQ1" s="28" t="s">
        <v>591</v>
      </c>
      <c r="WR1" s="28" t="s">
        <v>592</v>
      </c>
      <c r="WS1" s="29" t="s">
        <v>593</v>
      </c>
      <c r="WT1" s="28" t="s">
        <v>594</v>
      </c>
      <c r="WU1" s="28" t="s">
        <v>191</v>
      </c>
      <c r="WV1" s="28" t="s">
        <v>595</v>
      </c>
      <c r="WW1" s="28" t="s">
        <v>219</v>
      </c>
      <c r="WX1" s="28" t="s">
        <v>596</v>
      </c>
      <c r="WY1" s="28" t="s">
        <v>597</v>
      </c>
      <c r="WZ1" s="28" t="s">
        <v>598</v>
      </c>
      <c r="XA1" s="28" t="s">
        <v>214</v>
      </c>
      <c r="XB1" s="28" t="s">
        <v>599</v>
      </c>
      <c r="XC1" s="28" t="s">
        <v>452</v>
      </c>
      <c r="XD1" s="28" t="s">
        <v>600</v>
      </c>
      <c r="XE1" s="28" t="s">
        <v>601</v>
      </c>
      <c r="XF1" s="28" t="s">
        <v>602</v>
      </c>
      <c r="XG1" s="28" t="s">
        <v>603</v>
      </c>
      <c r="XH1" s="28" t="s">
        <v>604</v>
      </c>
      <c r="XI1" s="28" t="s">
        <v>605</v>
      </c>
      <c r="XJ1" s="31" t="s">
        <v>606</v>
      </c>
      <c r="XK1" s="31" t="s">
        <v>607</v>
      </c>
      <c r="XL1" s="31" t="s">
        <v>608</v>
      </c>
      <c r="XM1" s="31" t="s">
        <v>609</v>
      </c>
      <c r="XN1" s="31" t="s">
        <v>610</v>
      </c>
      <c r="XO1" s="31" t="s">
        <v>611</v>
      </c>
      <c r="XP1" s="31" t="s">
        <v>612</v>
      </c>
      <c r="XQ1" s="31" t="s">
        <v>613</v>
      </c>
      <c r="XR1" s="31" t="s">
        <v>419</v>
      </c>
      <c r="XS1" s="29" t="s">
        <v>614</v>
      </c>
      <c r="XT1" s="29" t="s">
        <v>615</v>
      </c>
      <c r="XU1" s="29" t="s">
        <v>616</v>
      </c>
      <c r="XV1" s="1" t="s">
        <v>0</v>
      </c>
      <c r="XW1" s="1" t="s">
        <v>1</v>
      </c>
      <c r="XX1" s="1" t="s">
        <v>2</v>
      </c>
      <c r="XY1" s="1" t="s">
        <v>3</v>
      </c>
      <c r="XZ1" s="1" t="s">
        <v>4</v>
      </c>
      <c r="YA1" s="1" t="s">
        <v>5</v>
      </c>
      <c r="YB1" s="1" t="s">
        <v>6</v>
      </c>
      <c r="YC1" s="1" t="s">
        <v>7</v>
      </c>
      <c r="YD1" s="1" t="s">
        <v>8</v>
      </c>
      <c r="YE1" s="1" t="s">
        <v>9</v>
      </c>
      <c r="YF1" s="1" t="s">
        <v>10</v>
      </c>
      <c r="YG1" s="1" t="s">
        <v>11</v>
      </c>
      <c r="YH1" s="1" t="s">
        <v>12</v>
      </c>
      <c r="YI1" s="1" t="s">
        <v>13</v>
      </c>
      <c r="YJ1" s="1" t="s">
        <v>14</v>
      </c>
      <c r="YK1" s="1" t="s">
        <v>15</v>
      </c>
      <c r="YL1" s="1" t="s">
        <v>16</v>
      </c>
      <c r="YM1" s="1" t="s">
        <v>17</v>
      </c>
      <c r="YN1" s="1" t="s">
        <v>18</v>
      </c>
      <c r="YO1" s="1" t="s">
        <v>21</v>
      </c>
      <c r="YP1" s="32" t="s">
        <v>617</v>
      </c>
      <c r="YQ1" s="32" t="s">
        <v>618</v>
      </c>
      <c r="YR1" s="32" t="s">
        <v>619</v>
      </c>
      <c r="YS1" s="32" t="s">
        <v>147</v>
      </c>
      <c r="YT1" s="32" t="s">
        <v>620</v>
      </c>
      <c r="YU1" s="32" t="s">
        <v>621</v>
      </c>
      <c r="YV1" s="32" t="s">
        <v>622</v>
      </c>
      <c r="YW1" s="32" t="s">
        <v>623</v>
      </c>
      <c r="YX1" s="32" t="s">
        <v>624</v>
      </c>
      <c r="YY1" s="32" t="s">
        <v>275</v>
      </c>
      <c r="YZ1" s="32" t="s">
        <v>625</v>
      </c>
      <c r="ZA1" s="32" t="s">
        <v>327</v>
      </c>
      <c r="ZB1" s="32" t="s">
        <v>626</v>
      </c>
      <c r="ZC1" s="32" t="s">
        <v>627</v>
      </c>
      <c r="ZD1" s="32" t="s">
        <v>628</v>
      </c>
      <c r="ZE1" s="32" t="s">
        <v>629</v>
      </c>
      <c r="ZF1" s="32" t="s">
        <v>630</v>
      </c>
      <c r="ZG1" s="33" t="s">
        <v>336</v>
      </c>
      <c r="ZH1" s="32" t="s">
        <v>333</v>
      </c>
      <c r="ZI1" s="32" t="s">
        <v>631</v>
      </c>
      <c r="ZJ1" s="32" t="s">
        <v>632</v>
      </c>
      <c r="ZK1" s="32" t="s">
        <v>633</v>
      </c>
      <c r="ZL1" s="32" t="s">
        <v>76</v>
      </c>
      <c r="ZM1" s="32" t="s">
        <v>634</v>
      </c>
      <c r="ZN1" s="32" t="s">
        <v>324</v>
      </c>
      <c r="ZO1" s="32" t="s">
        <v>635</v>
      </c>
      <c r="ZP1" s="32" t="s">
        <v>636</v>
      </c>
      <c r="ZQ1" s="32" t="s">
        <v>637</v>
      </c>
      <c r="ZR1" s="32" t="s">
        <v>638</v>
      </c>
      <c r="ZS1" s="32" t="s">
        <v>639</v>
      </c>
      <c r="ZT1" s="33" t="s">
        <v>640</v>
      </c>
      <c r="ZU1" s="32" t="s">
        <v>641</v>
      </c>
      <c r="ZV1" s="32" t="s">
        <v>139</v>
      </c>
      <c r="ZW1" s="32" t="s">
        <v>642</v>
      </c>
      <c r="ZX1" s="32" t="s">
        <v>643</v>
      </c>
      <c r="ZY1" s="32" t="s">
        <v>644</v>
      </c>
      <c r="ZZ1" s="32" t="s">
        <v>645</v>
      </c>
      <c r="AAA1" s="32" t="s">
        <v>646</v>
      </c>
      <c r="AAB1" s="32" t="s">
        <v>647</v>
      </c>
      <c r="AAC1" s="32" t="s">
        <v>648</v>
      </c>
      <c r="AAD1" s="33" t="s">
        <v>649</v>
      </c>
      <c r="AAE1" s="32" t="s">
        <v>650</v>
      </c>
      <c r="AAF1" s="34" t="s">
        <v>651</v>
      </c>
      <c r="AAG1" s="32" t="s">
        <v>652</v>
      </c>
      <c r="AAH1" s="32" t="s">
        <v>653</v>
      </c>
      <c r="AAI1" s="32" t="s">
        <v>654</v>
      </c>
      <c r="AAJ1" s="34" t="s">
        <v>655</v>
      </c>
      <c r="AAK1" s="32" t="s">
        <v>656</v>
      </c>
      <c r="AAL1" s="35" t="s">
        <v>657</v>
      </c>
      <c r="AAM1" s="35" t="s">
        <v>658</v>
      </c>
      <c r="AAN1" s="36" t="s">
        <v>659</v>
      </c>
      <c r="AAO1" s="36" t="s">
        <v>660</v>
      </c>
      <c r="AAP1" s="36" t="s">
        <v>592</v>
      </c>
      <c r="AAQ1" s="36" t="s">
        <v>433</v>
      </c>
      <c r="AAR1" s="36" t="s">
        <v>661</v>
      </c>
      <c r="AAS1" s="36" t="s">
        <v>662</v>
      </c>
      <c r="AAT1" s="36" t="s">
        <v>663</v>
      </c>
      <c r="AAU1" s="36" t="s">
        <v>664</v>
      </c>
      <c r="AAV1" s="36" t="s">
        <v>665</v>
      </c>
      <c r="AAW1" s="36" t="s">
        <v>666</v>
      </c>
      <c r="AAX1" s="36" t="s">
        <v>235</v>
      </c>
      <c r="AAY1" s="36" t="s">
        <v>667</v>
      </c>
      <c r="AAZ1" s="36" t="s">
        <v>668</v>
      </c>
      <c r="ABA1" s="36" t="s">
        <v>669</v>
      </c>
      <c r="ABB1" s="36" t="s">
        <v>670</v>
      </c>
      <c r="ABC1" s="36" t="s">
        <v>671</v>
      </c>
      <c r="ABD1" s="36" t="s">
        <v>672</v>
      </c>
      <c r="ABE1" s="36" t="s">
        <v>673</v>
      </c>
      <c r="ABF1" s="36" t="s">
        <v>674</v>
      </c>
      <c r="ABG1" s="36" t="s">
        <v>675</v>
      </c>
      <c r="ABH1" s="36" t="s">
        <v>434</v>
      </c>
      <c r="ABI1" s="36" t="s">
        <v>676</v>
      </c>
      <c r="ABJ1" s="36" t="s">
        <v>219</v>
      </c>
      <c r="ABK1" s="36" t="s">
        <v>418</v>
      </c>
      <c r="ABL1" s="36" t="s">
        <v>677</v>
      </c>
      <c r="ABM1" s="36" t="s">
        <v>678</v>
      </c>
      <c r="ABN1" s="36" t="s">
        <v>679</v>
      </c>
      <c r="ABO1" s="36" t="s">
        <v>680</v>
      </c>
      <c r="ABP1" s="36" t="s">
        <v>589</v>
      </c>
      <c r="ABQ1" s="36" t="s">
        <v>681</v>
      </c>
      <c r="ABR1" s="36" t="s">
        <v>682</v>
      </c>
      <c r="ABS1" s="36" t="s">
        <v>683</v>
      </c>
      <c r="ABT1" s="36" t="s">
        <v>684</v>
      </c>
      <c r="ABU1" s="36" t="s">
        <v>685</v>
      </c>
      <c r="ABV1" s="36" t="s">
        <v>686</v>
      </c>
      <c r="ABW1" s="36" t="s">
        <v>687</v>
      </c>
      <c r="ABX1" s="36" t="s">
        <v>688</v>
      </c>
      <c r="ABY1" s="36" t="s">
        <v>689</v>
      </c>
      <c r="ABZ1" s="36" t="s">
        <v>690</v>
      </c>
      <c r="ACA1" s="36" t="s">
        <v>691</v>
      </c>
      <c r="ACB1" s="36" t="s">
        <v>692</v>
      </c>
      <c r="ACC1" s="36" t="s">
        <v>693</v>
      </c>
      <c r="ACD1" s="36" t="s">
        <v>694</v>
      </c>
      <c r="ACE1" s="36" t="s">
        <v>695</v>
      </c>
      <c r="ACF1" s="36" t="s">
        <v>696</v>
      </c>
      <c r="ACG1" s="36" t="s">
        <v>697</v>
      </c>
      <c r="ACH1" s="36" t="s">
        <v>408</v>
      </c>
      <c r="ACI1" s="36" t="s">
        <v>698</v>
      </c>
      <c r="ACJ1" s="36" t="s">
        <v>699</v>
      </c>
      <c r="ACK1" s="36" t="s">
        <v>700</v>
      </c>
    </row>
    <row r="2" spans="1:765" s="45" customFormat="1" ht="14.5" x14ac:dyDescent="0.35">
      <c r="A2" s="38" t="s">
        <v>701</v>
      </c>
      <c r="B2" s="39">
        <v>2017</v>
      </c>
      <c r="C2" s="40">
        <v>301404377</v>
      </c>
      <c r="D2" s="41">
        <v>19712.969536538854</v>
      </c>
      <c r="E2" s="41">
        <v>139.62365730775343</v>
      </c>
      <c r="F2" s="41">
        <v>3825.1881452641137</v>
      </c>
      <c r="G2" s="41">
        <v>209.87396887921426</v>
      </c>
      <c r="H2" s="41">
        <v>336.88513406889251</v>
      </c>
      <c r="I2" s="41">
        <v>1241.3262392928766</v>
      </c>
      <c r="J2" s="41">
        <v>2059.9494456082916</v>
      </c>
      <c r="K2" s="41">
        <v>7646.7353915017075</v>
      </c>
      <c r="L2" s="41">
        <v>151.87584998441196</v>
      </c>
      <c r="M2" s="41">
        <v>1882.6648655097949</v>
      </c>
      <c r="N2" s="41">
        <v>1321.1462202062048</v>
      </c>
      <c r="O2" s="41">
        <v>2560.7578700206341</v>
      </c>
      <c r="P2" s="41">
        <v>1487.0810087040045</v>
      </c>
      <c r="Q2" s="41">
        <v>894.94512005607749</v>
      </c>
      <c r="R2" s="41">
        <v>7879.7064143798007</v>
      </c>
      <c r="S2" s="41">
        <v>4226.3665202152615</v>
      </c>
      <c r="T2" s="41">
        <v>3109.5395455437192</v>
      </c>
      <c r="U2" s="41">
        <v>1340.1913490317972</v>
      </c>
      <c r="V2" s="42">
        <v>-418.29811181018772</v>
      </c>
      <c r="W2" s="43"/>
      <c r="X2" s="44"/>
      <c r="Y2" s="44">
        <v>10976.4</v>
      </c>
      <c r="Z2" s="44">
        <v>59608.528170303216</v>
      </c>
    </row>
    <row r="3" spans="1:765" s="45" customFormat="1" ht="14.5" x14ac:dyDescent="0.35">
      <c r="A3" s="38" t="s">
        <v>701</v>
      </c>
      <c r="B3" s="39">
        <v>2018</v>
      </c>
      <c r="C3" s="40">
        <v>359321520</v>
      </c>
      <c r="D3" s="41">
        <v>19525.041100563831</v>
      </c>
      <c r="E3" s="41">
        <v>130.81728414621008</v>
      </c>
      <c r="F3" s="41">
        <v>4106.4203088864842</v>
      </c>
      <c r="G3" s="41">
        <v>114.49794228766348</v>
      </c>
      <c r="H3" s="41">
        <v>385.91545619791282</v>
      </c>
      <c r="I3" s="41">
        <v>1482.4659788046424</v>
      </c>
      <c r="J3" s="41">
        <v>2149.2423711431297</v>
      </c>
      <c r="K3" s="41">
        <v>8769.2565385852486</v>
      </c>
      <c r="L3" s="41">
        <v>178.18284367603644</v>
      </c>
      <c r="M3" s="41">
        <v>2004.0442211456577</v>
      </c>
      <c r="N3" s="41">
        <v>739.13140427922167</v>
      </c>
      <c r="O3" s="41">
        <v>2845.8178429710219</v>
      </c>
      <c r="P3" s="41">
        <v>1579.9641116724777</v>
      </c>
      <c r="Q3" s="41">
        <v>1045.9048661338795</v>
      </c>
      <c r="R3" s="41">
        <v>8056.3394301042008</v>
      </c>
      <c r="S3" s="41">
        <v>4721.1904299608468</v>
      </c>
      <c r="T3" s="41">
        <v>3094.3782160823121</v>
      </c>
      <c r="U3" s="41">
        <v>1478.0151611758372</v>
      </c>
      <c r="V3" s="42">
        <v>-373.00743359368835</v>
      </c>
      <c r="W3" s="43"/>
      <c r="X3" s="44"/>
      <c r="Y3" s="44">
        <v>10976.4</v>
      </c>
      <c r="Z3" s="44">
        <v>62033.618074222919</v>
      </c>
    </row>
    <row r="4" spans="1:765" s="45" customFormat="1" x14ac:dyDescent="0.3">
      <c r="A4" s="38" t="s">
        <v>701</v>
      </c>
      <c r="B4" s="39">
        <v>2019</v>
      </c>
      <c r="C4" s="40">
        <v>301663843</v>
      </c>
      <c r="D4" s="46"/>
      <c r="E4" s="46"/>
      <c r="F4" s="46"/>
      <c r="G4" s="46"/>
      <c r="H4" s="46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5">
        <v>666763</v>
      </c>
      <c r="X4" s="44"/>
      <c r="Y4" s="44">
        <v>10976.4</v>
      </c>
      <c r="Z4" s="47">
        <v>70754</v>
      </c>
    </row>
    <row r="5" spans="1:765" s="45" customFormat="1" x14ac:dyDescent="0.3">
      <c r="A5" s="38" t="s">
        <v>701</v>
      </c>
      <c r="B5" s="39">
        <v>2020</v>
      </c>
      <c r="C5" s="40">
        <v>205203689</v>
      </c>
      <c r="D5" s="46">
        <v>29185</v>
      </c>
      <c r="E5" s="46">
        <v>146</v>
      </c>
      <c r="F5" s="46">
        <v>4523</v>
      </c>
      <c r="G5" s="46">
        <v>132</v>
      </c>
      <c r="H5" s="46">
        <v>405</v>
      </c>
      <c r="I5" s="40">
        <v>2039</v>
      </c>
      <c r="J5" s="40">
        <v>2311</v>
      </c>
      <c r="K5" s="40">
        <v>10121</v>
      </c>
      <c r="L5" s="40">
        <v>139</v>
      </c>
      <c r="M5" s="40">
        <v>2351</v>
      </c>
      <c r="N5" s="40">
        <v>1113</v>
      </c>
      <c r="O5" s="40">
        <v>3212</v>
      </c>
      <c r="P5" s="40">
        <v>1537</v>
      </c>
      <c r="Q5" s="40">
        <v>995</v>
      </c>
      <c r="R5" s="40">
        <v>7795</v>
      </c>
      <c r="S5" s="40">
        <v>4953</v>
      </c>
      <c r="T5" s="40">
        <v>3510</v>
      </c>
      <c r="U5" s="40">
        <v>1386</v>
      </c>
      <c r="V5" s="40">
        <v>-395</v>
      </c>
      <c r="W5" s="45">
        <v>686717</v>
      </c>
      <c r="X5" s="44"/>
      <c r="Y5" s="44">
        <v>10976.4</v>
      </c>
      <c r="Z5" s="47">
        <v>75459</v>
      </c>
    </row>
    <row r="6" spans="1:765" s="45" customFormat="1" ht="14.5" x14ac:dyDescent="0.35">
      <c r="A6" s="38" t="s">
        <v>701</v>
      </c>
      <c r="B6" s="39">
        <v>2021</v>
      </c>
      <c r="C6" s="40">
        <v>253451349</v>
      </c>
      <c r="D6" s="46">
        <v>30592</v>
      </c>
      <c r="E6" s="46">
        <v>174</v>
      </c>
      <c r="F6" s="46">
        <v>4555</v>
      </c>
      <c r="G6" s="46">
        <v>128</v>
      </c>
      <c r="H6" s="46">
        <v>401</v>
      </c>
      <c r="I6" s="40">
        <v>2316</v>
      </c>
      <c r="J6" s="40">
        <v>2531</v>
      </c>
      <c r="K6" s="40">
        <v>12073</v>
      </c>
      <c r="L6" s="40">
        <v>238</v>
      </c>
      <c r="M6" s="40">
        <v>2456</v>
      </c>
      <c r="N6" s="40">
        <v>1366</v>
      </c>
      <c r="O6" s="40">
        <v>3443</v>
      </c>
      <c r="P6" s="40">
        <v>1727</v>
      </c>
      <c r="Q6" s="40">
        <v>1133</v>
      </c>
      <c r="R6" s="40">
        <v>10812</v>
      </c>
      <c r="S6" s="40">
        <v>6242</v>
      </c>
      <c r="T6" s="40">
        <v>3866</v>
      </c>
      <c r="U6" s="40">
        <v>1564</v>
      </c>
      <c r="V6" s="40">
        <v>-399</v>
      </c>
      <c r="W6" s="45">
        <v>702256</v>
      </c>
      <c r="X6" s="44"/>
      <c r="Y6" s="44">
        <v>10976.4</v>
      </c>
      <c r="Z6" s="47">
        <v>85220</v>
      </c>
      <c r="AA6" s="48">
        <v>4961940</v>
      </c>
      <c r="AB6" s="48">
        <v>6773310</v>
      </c>
      <c r="AC6" s="48">
        <v>8508762</v>
      </c>
      <c r="AD6" s="48">
        <v>9655650</v>
      </c>
      <c r="AE6" s="48">
        <v>5838446</v>
      </c>
      <c r="AF6" s="48">
        <v>0</v>
      </c>
      <c r="AG6" s="48">
        <v>15683957</v>
      </c>
      <c r="AH6" s="48">
        <v>0</v>
      </c>
      <c r="AI6" s="48">
        <v>0</v>
      </c>
      <c r="AJ6" s="48">
        <v>0</v>
      </c>
      <c r="AK6" s="48">
        <v>953000</v>
      </c>
      <c r="AL6" s="48">
        <v>1114215</v>
      </c>
      <c r="AM6" s="48">
        <v>0</v>
      </c>
      <c r="AN6" s="48">
        <v>0</v>
      </c>
      <c r="AO6" s="48">
        <v>256730</v>
      </c>
      <c r="AP6" s="48">
        <v>0</v>
      </c>
      <c r="AQ6" s="48">
        <v>0</v>
      </c>
      <c r="AR6" s="48">
        <v>68090852</v>
      </c>
    </row>
    <row r="7" spans="1:765" s="45" customFormat="1" ht="14.5" x14ac:dyDescent="0.35">
      <c r="A7" s="38" t="s">
        <v>701</v>
      </c>
      <c r="B7" s="39">
        <v>2022</v>
      </c>
      <c r="C7" s="40">
        <v>312102220</v>
      </c>
      <c r="D7" s="46">
        <v>32591</v>
      </c>
      <c r="E7" s="46">
        <v>226</v>
      </c>
      <c r="F7" s="46">
        <v>4460</v>
      </c>
      <c r="G7" s="46">
        <v>119</v>
      </c>
      <c r="H7" s="46">
        <v>392</v>
      </c>
      <c r="I7" s="40">
        <v>2594</v>
      </c>
      <c r="J7" s="40">
        <v>2833</v>
      </c>
      <c r="K7" s="40">
        <v>15686</v>
      </c>
      <c r="L7" s="40">
        <v>262</v>
      </c>
      <c r="M7" s="40">
        <v>2713</v>
      </c>
      <c r="N7" s="40">
        <v>1584</v>
      </c>
      <c r="O7" s="40">
        <v>3700</v>
      </c>
      <c r="P7" s="40">
        <v>1812</v>
      </c>
      <c r="Q7" s="40">
        <v>1400</v>
      </c>
      <c r="R7" s="40">
        <v>12156</v>
      </c>
      <c r="S7" s="40">
        <v>6558</v>
      </c>
      <c r="T7" s="40">
        <v>2962</v>
      </c>
      <c r="U7" s="40">
        <v>1718</v>
      </c>
      <c r="V7" s="40">
        <v>-431</v>
      </c>
      <c r="W7" s="45">
        <v>717794</v>
      </c>
      <c r="X7" s="45">
        <v>297847</v>
      </c>
      <c r="Y7" s="44">
        <v>10976.4</v>
      </c>
      <c r="Z7" s="47">
        <v>93334</v>
      </c>
      <c r="AA7" s="48">
        <v>9380380</v>
      </c>
      <c r="AB7" s="48">
        <v>11598090</v>
      </c>
      <c r="AC7" s="48">
        <v>20063446</v>
      </c>
      <c r="AD7" s="48">
        <v>31905934</v>
      </c>
      <c r="AE7" s="48">
        <v>12760712</v>
      </c>
      <c r="AF7" s="48">
        <v>6989913</v>
      </c>
      <c r="AG7" s="48">
        <v>20661303</v>
      </c>
      <c r="AH7" s="48">
        <v>5334500</v>
      </c>
      <c r="AI7" s="48">
        <v>187400</v>
      </c>
      <c r="AJ7" s="48">
        <v>64000</v>
      </c>
      <c r="AK7" s="48">
        <v>2676770</v>
      </c>
      <c r="AL7" s="48">
        <v>2201435</v>
      </c>
      <c r="AM7" s="48">
        <v>393360</v>
      </c>
      <c r="AN7" s="48">
        <v>3057500</v>
      </c>
      <c r="AO7" s="48">
        <v>2527363</v>
      </c>
      <c r="AP7" s="48">
        <v>158000</v>
      </c>
      <c r="AQ7" s="48">
        <v>359500</v>
      </c>
      <c r="AR7" s="48">
        <v>126452054</v>
      </c>
    </row>
    <row r="8" spans="1:765" s="45" customFormat="1" ht="14.5" x14ac:dyDescent="0.35">
      <c r="A8" s="38" t="s">
        <v>701</v>
      </c>
      <c r="B8" s="39">
        <v>2023</v>
      </c>
      <c r="C8" s="40">
        <v>312102220</v>
      </c>
      <c r="D8" s="50">
        <v>42188</v>
      </c>
      <c r="E8" s="15">
        <v>195</v>
      </c>
      <c r="F8" s="50">
        <v>4968</v>
      </c>
      <c r="G8" s="15">
        <v>239</v>
      </c>
      <c r="H8" s="15">
        <v>392</v>
      </c>
      <c r="I8" s="50">
        <v>2733</v>
      </c>
      <c r="J8" s="50">
        <v>3133</v>
      </c>
      <c r="K8" s="50">
        <v>18060</v>
      </c>
      <c r="L8" s="15">
        <v>340</v>
      </c>
      <c r="M8" s="50">
        <v>2869</v>
      </c>
      <c r="N8" s="50">
        <v>1855</v>
      </c>
      <c r="O8" s="50">
        <v>4028</v>
      </c>
      <c r="P8" s="50">
        <v>1986</v>
      </c>
      <c r="Q8" s="50">
        <v>1659</v>
      </c>
      <c r="R8" s="50">
        <v>11087</v>
      </c>
      <c r="S8" s="50">
        <v>6833</v>
      </c>
      <c r="T8" s="50">
        <v>2900</v>
      </c>
      <c r="U8" s="50">
        <v>1881</v>
      </c>
      <c r="V8" s="15">
        <v>-590</v>
      </c>
      <c r="W8" s="45">
        <v>733333</v>
      </c>
      <c r="X8" s="44"/>
      <c r="Y8" s="44">
        <v>10976.4</v>
      </c>
      <c r="Z8" s="47"/>
      <c r="AA8" s="51">
        <v>34605095</v>
      </c>
      <c r="AB8" s="51">
        <v>15653450</v>
      </c>
      <c r="AC8" s="51">
        <v>20619774</v>
      </c>
      <c r="AD8" s="51">
        <v>39045652</v>
      </c>
      <c r="AE8" s="51">
        <v>17085686</v>
      </c>
      <c r="AF8" s="51">
        <v>17394256</v>
      </c>
      <c r="AG8" s="51">
        <v>12342270</v>
      </c>
      <c r="AH8" s="51">
        <v>14195050</v>
      </c>
      <c r="AI8" s="51">
        <v>4044775</v>
      </c>
      <c r="AJ8" s="51">
        <v>93300</v>
      </c>
      <c r="AK8" s="51">
        <v>3752900</v>
      </c>
      <c r="AL8" s="51">
        <v>2803445</v>
      </c>
      <c r="AM8" s="51">
        <v>603032</v>
      </c>
      <c r="AN8" s="51">
        <v>5700000</v>
      </c>
      <c r="AO8" s="51">
        <v>2775328</v>
      </c>
      <c r="AP8" s="51">
        <v>0</v>
      </c>
      <c r="AQ8" s="51">
        <v>388600</v>
      </c>
      <c r="AR8" s="51">
        <v>177289635</v>
      </c>
    </row>
    <row r="9" spans="1:765" s="45" customFormat="1" ht="14.5" x14ac:dyDescent="0.35">
      <c r="A9" s="38" t="s">
        <v>702</v>
      </c>
      <c r="B9" s="39">
        <v>2017</v>
      </c>
      <c r="C9" s="40">
        <v>181375343</v>
      </c>
      <c r="D9" s="41">
        <v>71358.380339958501</v>
      </c>
      <c r="E9" s="41">
        <v>690.48261777974926</v>
      </c>
      <c r="F9" s="41">
        <v>8979.2996074260191</v>
      </c>
      <c r="G9" s="41">
        <v>402.00240141374786</v>
      </c>
      <c r="H9" s="41">
        <v>580.21106510159325</v>
      </c>
      <c r="I9" s="41">
        <v>7409.5346078715411</v>
      </c>
      <c r="J9" s="41">
        <v>1144.0157552520648</v>
      </c>
      <c r="K9" s="41">
        <v>3748.2147524364632</v>
      </c>
      <c r="L9" s="41">
        <v>683.44132492985409</v>
      </c>
      <c r="M9" s="41">
        <v>873.28442530880591</v>
      </c>
      <c r="N9" s="41">
        <v>989.03467554352073</v>
      </c>
      <c r="O9" s="41">
        <v>2915.6459158738007</v>
      </c>
      <c r="P9" s="41">
        <v>1782.2335039912746</v>
      </c>
      <c r="Q9" s="41">
        <v>820.66427786766803</v>
      </c>
      <c r="R9" s="41">
        <v>7617.0258538271664</v>
      </c>
      <c r="S9" s="41">
        <v>6764.4158704433494</v>
      </c>
      <c r="T9" s="41">
        <v>2320.0777125636923</v>
      </c>
      <c r="U9" s="41">
        <v>2122.7348081006703</v>
      </c>
      <c r="V9" s="42">
        <v>-444.10249755170565</v>
      </c>
      <c r="W9" s="43"/>
      <c r="X9" s="44"/>
      <c r="Y9" s="44">
        <v>2530.9</v>
      </c>
      <c r="Z9" s="44">
        <v>120756.59701813776</v>
      </c>
    </row>
    <row r="10" spans="1:765" s="45" customFormat="1" ht="14.5" x14ac:dyDescent="0.35">
      <c r="A10" s="38" t="s">
        <v>702</v>
      </c>
      <c r="B10" s="39">
        <v>2018</v>
      </c>
      <c r="C10" s="40">
        <v>205476390</v>
      </c>
      <c r="D10" s="41">
        <v>72311.134806685863</v>
      </c>
      <c r="E10" s="41">
        <v>646.93235050430462</v>
      </c>
      <c r="F10" s="41">
        <v>11928.009947003306</v>
      </c>
      <c r="G10" s="41">
        <v>375.89195338687966</v>
      </c>
      <c r="H10" s="41">
        <v>629.2029809518416</v>
      </c>
      <c r="I10" s="41">
        <v>8879.4489197321545</v>
      </c>
      <c r="J10" s="41">
        <v>1186.683551244397</v>
      </c>
      <c r="K10" s="41">
        <v>8917.0224085063801</v>
      </c>
      <c r="L10" s="41">
        <v>801.82279654216381</v>
      </c>
      <c r="M10" s="41">
        <v>929.74165997382727</v>
      </c>
      <c r="N10" s="41">
        <v>765.43647898079939</v>
      </c>
      <c r="O10" s="41">
        <v>3244.4727071601274</v>
      </c>
      <c r="P10" s="41">
        <v>1893.5518364130924</v>
      </c>
      <c r="Q10" s="41">
        <v>959.09429801713077</v>
      </c>
      <c r="R10" s="41">
        <v>8839.9855211393642</v>
      </c>
      <c r="S10" s="41">
        <v>7685.6055204471131</v>
      </c>
      <c r="T10" s="41">
        <v>2350.5488104477304</v>
      </c>
      <c r="U10" s="41">
        <v>2342.0467946814879</v>
      </c>
      <c r="V10" s="42">
        <v>-450.66866952323636</v>
      </c>
      <c r="W10" s="43"/>
      <c r="X10" s="44"/>
      <c r="Y10" s="44">
        <v>2530.9</v>
      </c>
      <c r="Z10" s="44">
        <v>134235.96467229471</v>
      </c>
    </row>
    <row r="11" spans="1:765" s="45" customFormat="1" x14ac:dyDescent="0.3">
      <c r="A11" s="38" t="s">
        <v>702</v>
      </c>
      <c r="B11" s="39">
        <v>2019</v>
      </c>
      <c r="C11" s="40">
        <v>201510614</v>
      </c>
      <c r="D11" s="46"/>
      <c r="E11" s="46"/>
      <c r="F11" s="46"/>
      <c r="G11" s="46"/>
      <c r="H11" s="46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5">
        <v>875689</v>
      </c>
      <c r="X11" s="44"/>
      <c r="Y11" s="44">
        <v>2530.9</v>
      </c>
      <c r="Z11" s="47">
        <v>137299</v>
      </c>
    </row>
    <row r="12" spans="1:765" s="45" customFormat="1" x14ac:dyDescent="0.3">
      <c r="A12" s="38" t="s">
        <v>702</v>
      </c>
      <c r="B12" s="39">
        <v>2020</v>
      </c>
      <c r="C12" s="40">
        <v>183008302</v>
      </c>
      <c r="D12" s="46">
        <v>84771</v>
      </c>
      <c r="E12" s="46">
        <v>721</v>
      </c>
      <c r="F12" s="46">
        <v>11275</v>
      </c>
      <c r="G12" s="46">
        <v>420</v>
      </c>
      <c r="H12" s="46">
        <v>828</v>
      </c>
      <c r="I12" s="40">
        <v>12203</v>
      </c>
      <c r="J12" s="40">
        <v>1259</v>
      </c>
      <c r="K12" s="40">
        <v>10440</v>
      </c>
      <c r="L12" s="40">
        <v>624</v>
      </c>
      <c r="M12" s="40">
        <v>1090</v>
      </c>
      <c r="N12" s="40">
        <v>890</v>
      </c>
      <c r="O12" s="40">
        <v>3667</v>
      </c>
      <c r="P12" s="40">
        <v>1842</v>
      </c>
      <c r="Q12" s="40">
        <v>912</v>
      </c>
      <c r="R12" s="40">
        <v>8720</v>
      </c>
      <c r="S12" s="40">
        <v>7360</v>
      </c>
      <c r="T12" s="40">
        <v>2392</v>
      </c>
      <c r="U12" s="40">
        <v>2212</v>
      </c>
      <c r="V12" s="40">
        <v>-474</v>
      </c>
      <c r="W12" s="45">
        <v>901539</v>
      </c>
      <c r="X12" s="44"/>
      <c r="Y12" s="44">
        <v>2530.9</v>
      </c>
      <c r="Z12" s="47">
        <v>151153</v>
      </c>
    </row>
    <row r="13" spans="1:765" s="45" customFormat="1" x14ac:dyDescent="0.3">
      <c r="A13" s="38" t="s">
        <v>702</v>
      </c>
      <c r="B13" s="39">
        <v>2021</v>
      </c>
      <c r="C13" s="40">
        <v>201510561</v>
      </c>
      <c r="D13" s="46">
        <v>88012</v>
      </c>
      <c r="E13" s="46">
        <v>861</v>
      </c>
      <c r="F13" s="46">
        <v>12761</v>
      </c>
      <c r="G13" s="46">
        <v>410</v>
      </c>
      <c r="H13" s="46">
        <v>601</v>
      </c>
      <c r="I13" s="40">
        <v>13798</v>
      </c>
      <c r="J13" s="40">
        <v>1377</v>
      </c>
      <c r="K13" s="40">
        <v>14217</v>
      </c>
      <c r="L13" s="40">
        <v>1072</v>
      </c>
      <c r="M13" s="40">
        <v>1139</v>
      </c>
      <c r="N13" s="40">
        <v>1064</v>
      </c>
      <c r="O13" s="40">
        <v>3973</v>
      </c>
      <c r="P13" s="40">
        <v>2070</v>
      </c>
      <c r="Q13" s="40">
        <v>1039</v>
      </c>
      <c r="R13" s="40">
        <v>10829</v>
      </c>
      <c r="S13" s="40">
        <v>9316</v>
      </c>
      <c r="T13" s="40">
        <v>2808</v>
      </c>
      <c r="U13" s="40">
        <v>2490</v>
      </c>
      <c r="V13" s="40">
        <v>-434</v>
      </c>
      <c r="W13" s="45">
        <v>914280</v>
      </c>
      <c r="X13" s="44"/>
      <c r="Y13" s="44">
        <v>2530.9</v>
      </c>
      <c r="Z13" s="47">
        <v>167404</v>
      </c>
    </row>
    <row r="14" spans="1:765" s="45" customFormat="1" x14ac:dyDescent="0.3">
      <c r="A14" s="38" t="s">
        <v>702</v>
      </c>
      <c r="B14" s="39">
        <v>2022</v>
      </c>
      <c r="C14" s="40">
        <v>242395023</v>
      </c>
      <c r="D14" s="46">
        <v>103861</v>
      </c>
      <c r="E14" s="46">
        <v>1116</v>
      </c>
      <c r="F14" s="46">
        <v>15088</v>
      </c>
      <c r="G14" s="46">
        <v>380</v>
      </c>
      <c r="H14" s="46">
        <v>596</v>
      </c>
      <c r="I14" s="40">
        <v>15513</v>
      </c>
      <c r="J14" s="40">
        <v>1551</v>
      </c>
      <c r="K14" s="40">
        <v>17994</v>
      </c>
      <c r="L14" s="40">
        <v>1181</v>
      </c>
      <c r="M14" s="40">
        <v>1258</v>
      </c>
      <c r="N14" s="40">
        <v>1246</v>
      </c>
      <c r="O14" s="40">
        <v>4232</v>
      </c>
      <c r="P14" s="40">
        <v>2171</v>
      </c>
      <c r="Q14" s="40">
        <v>1284</v>
      </c>
      <c r="R14" s="40">
        <v>12041</v>
      </c>
      <c r="S14" s="40">
        <v>9709</v>
      </c>
      <c r="T14" s="40">
        <v>3317</v>
      </c>
      <c r="U14" s="40">
        <v>2725</v>
      </c>
      <c r="V14" s="40">
        <v>-466</v>
      </c>
      <c r="W14" s="45">
        <v>927020</v>
      </c>
      <c r="X14" s="45">
        <v>389097</v>
      </c>
      <c r="Y14" s="44">
        <v>2530.9</v>
      </c>
      <c r="Z14" s="47">
        <v>194798</v>
      </c>
      <c r="AS14" s="16">
        <v>46350</v>
      </c>
      <c r="AT14" s="16">
        <v>14920364</v>
      </c>
      <c r="AU14" s="16">
        <v>513295</v>
      </c>
      <c r="AV14" s="16">
        <v>69300</v>
      </c>
      <c r="AW14" s="16">
        <v>500405</v>
      </c>
      <c r="AX14" s="16">
        <v>1478960</v>
      </c>
      <c r="AY14" s="16">
        <v>309706</v>
      </c>
      <c r="AZ14" s="16">
        <v>280800</v>
      </c>
      <c r="BA14" s="16">
        <v>62400</v>
      </c>
      <c r="BB14" s="16">
        <v>87580</v>
      </c>
      <c r="BC14" s="16">
        <v>168960</v>
      </c>
      <c r="BD14" s="16">
        <v>7549450</v>
      </c>
      <c r="BE14" s="16">
        <v>820250</v>
      </c>
      <c r="BF14" s="16">
        <v>0</v>
      </c>
      <c r="BG14" s="16">
        <v>2230350</v>
      </c>
      <c r="BH14" s="16">
        <v>0</v>
      </c>
      <c r="BI14" s="16">
        <v>0</v>
      </c>
      <c r="BJ14" s="16">
        <v>5290030</v>
      </c>
      <c r="BK14" s="16">
        <v>299156</v>
      </c>
      <c r="BL14" s="16">
        <v>1903690</v>
      </c>
      <c r="BM14" s="16">
        <v>7284338</v>
      </c>
      <c r="BN14" s="16">
        <v>85890000</v>
      </c>
      <c r="BO14" s="16">
        <v>507300</v>
      </c>
      <c r="BP14" s="16">
        <v>2457820</v>
      </c>
      <c r="BQ14" s="16">
        <v>2815490</v>
      </c>
      <c r="BR14" s="16">
        <v>2595100</v>
      </c>
      <c r="BS14" s="16">
        <v>0</v>
      </c>
      <c r="BT14" s="16">
        <v>0</v>
      </c>
      <c r="BU14" s="16">
        <v>0</v>
      </c>
      <c r="BV14" s="16">
        <v>29500</v>
      </c>
      <c r="BW14" s="16">
        <v>0</v>
      </c>
      <c r="BX14" s="16">
        <v>160550</v>
      </c>
      <c r="BY14" s="16">
        <v>530980</v>
      </c>
      <c r="BZ14" s="16">
        <v>91222</v>
      </c>
      <c r="CA14" s="16">
        <v>44400</v>
      </c>
      <c r="CB14" s="16">
        <v>0</v>
      </c>
      <c r="CC14" s="16">
        <v>274173</v>
      </c>
      <c r="CD14" s="16">
        <v>598000</v>
      </c>
      <c r="CE14" s="16">
        <v>4000997</v>
      </c>
      <c r="CF14" s="16">
        <v>177912</v>
      </c>
      <c r="CG14" s="16">
        <v>8865600</v>
      </c>
      <c r="CH14" s="16">
        <v>35552520</v>
      </c>
      <c r="CI14" s="16">
        <v>6482400</v>
      </c>
      <c r="CJ14" s="16">
        <v>2800000</v>
      </c>
      <c r="CK14" s="16">
        <v>0</v>
      </c>
      <c r="CL14" s="16">
        <v>25645680</v>
      </c>
      <c r="CM14" s="16">
        <v>0</v>
      </c>
      <c r="CN14" s="16">
        <v>0</v>
      </c>
      <c r="CO14" s="16">
        <v>0</v>
      </c>
      <c r="CP14" s="16">
        <v>1351860</v>
      </c>
      <c r="CQ14" s="16">
        <v>0</v>
      </c>
      <c r="CR14" s="16">
        <v>14779014</v>
      </c>
      <c r="CS14" s="16">
        <v>1139600</v>
      </c>
      <c r="CT14" s="16">
        <v>42010</v>
      </c>
      <c r="CU14" s="16">
        <v>276920</v>
      </c>
      <c r="CV14" s="16">
        <v>1815370</v>
      </c>
      <c r="CW14" s="16">
        <v>482300</v>
      </c>
      <c r="CX14" s="16">
        <v>776050</v>
      </c>
      <c r="CY14" s="16">
        <v>0</v>
      </c>
      <c r="CZ14" s="16">
        <v>68500</v>
      </c>
    </row>
    <row r="15" spans="1:765" s="45" customFormat="1" ht="14.5" x14ac:dyDescent="0.35">
      <c r="A15" s="38" t="s">
        <v>702</v>
      </c>
      <c r="B15" s="39">
        <v>2023</v>
      </c>
      <c r="C15" s="40">
        <v>283279485</v>
      </c>
      <c r="D15" s="50">
        <v>108535</v>
      </c>
      <c r="E15" s="15">
        <v>967</v>
      </c>
      <c r="F15" s="50">
        <v>18883</v>
      </c>
      <c r="G15" s="15">
        <v>742</v>
      </c>
      <c r="H15" s="15">
        <v>527</v>
      </c>
      <c r="I15" s="50">
        <v>16323</v>
      </c>
      <c r="J15" s="50">
        <v>1722</v>
      </c>
      <c r="K15" s="50">
        <v>21383</v>
      </c>
      <c r="L15" s="50">
        <v>1530</v>
      </c>
      <c r="M15" s="50">
        <v>1331</v>
      </c>
      <c r="N15" s="50">
        <v>1447</v>
      </c>
      <c r="O15" s="50">
        <v>4677</v>
      </c>
      <c r="P15" s="50">
        <v>2380</v>
      </c>
      <c r="Q15" s="50">
        <v>1521</v>
      </c>
      <c r="R15" s="50">
        <v>12359</v>
      </c>
      <c r="S15" s="50">
        <v>11488</v>
      </c>
      <c r="T15" s="50">
        <v>3702</v>
      </c>
      <c r="U15" s="50">
        <v>2976</v>
      </c>
      <c r="V15" s="15">
        <v>-716</v>
      </c>
      <c r="W15" s="45">
        <v>939761</v>
      </c>
      <c r="X15" s="44"/>
      <c r="Y15" s="44">
        <v>2530.9</v>
      </c>
      <c r="Z15" s="47"/>
      <c r="AS15" s="16">
        <v>1750</v>
      </c>
      <c r="AT15" s="16">
        <v>16437901</v>
      </c>
      <c r="AU15" s="16">
        <v>513680</v>
      </c>
      <c r="AV15" s="16">
        <v>147410</v>
      </c>
      <c r="AW15" s="16">
        <v>439520</v>
      </c>
      <c r="AX15" s="16">
        <v>2425299</v>
      </c>
      <c r="AY15" s="16">
        <v>685510</v>
      </c>
      <c r="AZ15" s="16">
        <v>23000</v>
      </c>
      <c r="BA15" s="16">
        <v>46130</v>
      </c>
      <c r="BB15" s="16">
        <v>56700</v>
      </c>
      <c r="BC15" s="16">
        <v>371185</v>
      </c>
      <c r="BD15" s="16">
        <v>9365900</v>
      </c>
      <c r="BE15" s="16">
        <v>1450200</v>
      </c>
      <c r="BF15" s="16">
        <v>141500</v>
      </c>
      <c r="BG15" s="16">
        <v>2259370</v>
      </c>
      <c r="BH15" s="16">
        <v>523910</v>
      </c>
      <c r="BI15" s="16">
        <v>0</v>
      </c>
      <c r="BJ15" s="16">
        <v>3434799</v>
      </c>
      <c r="BK15" s="16">
        <v>570000</v>
      </c>
      <c r="BL15" s="16">
        <v>1631191</v>
      </c>
      <c r="BM15" s="16">
        <v>8990849</v>
      </c>
      <c r="BN15" s="16">
        <v>61475900</v>
      </c>
      <c r="BO15" s="16">
        <v>1726852.45</v>
      </c>
      <c r="BP15" s="16">
        <v>2393990</v>
      </c>
      <c r="BQ15" s="16">
        <v>4139933</v>
      </c>
      <c r="BR15" s="16">
        <v>2650926</v>
      </c>
      <c r="BS15" s="16">
        <v>1554847</v>
      </c>
      <c r="BT15" s="16">
        <v>237000</v>
      </c>
      <c r="BU15" s="16">
        <v>4000000</v>
      </c>
      <c r="BV15" s="16">
        <v>4000</v>
      </c>
      <c r="BW15" s="16">
        <v>6410</v>
      </c>
      <c r="BX15" s="16">
        <v>468900</v>
      </c>
      <c r="BY15" s="16">
        <v>773458</v>
      </c>
      <c r="BZ15" s="16">
        <v>21000</v>
      </c>
      <c r="CA15" s="16">
        <v>5200</v>
      </c>
      <c r="CB15" s="16">
        <v>125850</v>
      </c>
      <c r="CC15" s="16">
        <v>362729</v>
      </c>
      <c r="CD15" s="16">
        <v>1138768</v>
      </c>
      <c r="CE15" s="16">
        <v>2901807</v>
      </c>
      <c r="CF15" s="16">
        <v>177912</v>
      </c>
      <c r="CG15" s="16">
        <v>8865600</v>
      </c>
      <c r="CH15" s="16">
        <v>35552520</v>
      </c>
      <c r="CI15" s="16">
        <v>6482400</v>
      </c>
      <c r="CJ15" s="16">
        <v>350000</v>
      </c>
      <c r="CK15" s="16">
        <v>0</v>
      </c>
      <c r="CL15" s="16">
        <v>25645680</v>
      </c>
      <c r="CM15" s="16">
        <v>385461</v>
      </c>
      <c r="CN15" s="16">
        <v>700</v>
      </c>
      <c r="CO15" s="16">
        <v>342360</v>
      </c>
      <c r="CP15" s="16">
        <v>1403290</v>
      </c>
      <c r="CQ15" s="16">
        <v>14000</v>
      </c>
      <c r="CR15" s="16">
        <v>21510499</v>
      </c>
      <c r="CS15" s="16">
        <v>853692</v>
      </c>
      <c r="CT15" s="16">
        <v>166920</v>
      </c>
      <c r="CU15" s="16">
        <v>215660</v>
      </c>
      <c r="CV15" s="16">
        <v>1164961.5500000101</v>
      </c>
      <c r="CW15" s="16">
        <v>1063590</v>
      </c>
      <c r="CX15" s="16">
        <v>1140300</v>
      </c>
      <c r="CY15" s="16">
        <v>0</v>
      </c>
      <c r="CZ15" s="16">
        <v>91500</v>
      </c>
    </row>
    <row r="16" spans="1:765" s="45" customFormat="1" ht="14.5" x14ac:dyDescent="0.35">
      <c r="A16" s="38" t="s">
        <v>703</v>
      </c>
      <c r="B16" s="39">
        <v>2017</v>
      </c>
      <c r="C16" s="40">
        <v>656750139</v>
      </c>
      <c r="D16" s="41">
        <v>70689.26120226692</v>
      </c>
      <c r="E16" s="41">
        <v>297.46734886260845</v>
      </c>
      <c r="F16" s="41">
        <v>7308.5901487332958</v>
      </c>
      <c r="G16" s="41">
        <v>381.26987097659287</v>
      </c>
      <c r="H16" s="41">
        <v>1324.5418826417522</v>
      </c>
      <c r="I16" s="41">
        <v>3826.0663112983693</v>
      </c>
      <c r="J16" s="41">
        <v>8813.7046226727416</v>
      </c>
      <c r="K16" s="41">
        <v>15899.791705989015</v>
      </c>
      <c r="L16" s="41">
        <v>1473.1957448487965</v>
      </c>
      <c r="M16" s="41">
        <v>3256.3977649050398</v>
      </c>
      <c r="N16" s="41">
        <v>2939.3190251382202</v>
      </c>
      <c r="O16" s="41">
        <v>7954.9651864558664</v>
      </c>
      <c r="P16" s="41">
        <v>3106.5017793067259</v>
      </c>
      <c r="Q16" s="41">
        <v>1475.2890261377154</v>
      </c>
      <c r="R16" s="41">
        <v>13317.423963794319</v>
      </c>
      <c r="S16" s="41">
        <v>15435.917009436202</v>
      </c>
      <c r="T16" s="41">
        <v>3489.6506494913383</v>
      </c>
      <c r="U16" s="41">
        <v>4071.8270158516352</v>
      </c>
      <c r="V16" s="42">
        <v>-1162.9887923402803</v>
      </c>
      <c r="W16" s="43"/>
      <c r="X16" s="44"/>
      <c r="Y16" s="44">
        <v>3023.9</v>
      </c>
      <c r="Z16" s="44">
        <v>163898.1914664669</v>
      </c>
    </row>
    <row r="17" spans="1:237" s="45" customFormat="1" ht="14.5" x14ac:dyDescent="0.35">
      <c r="A17" s="38" t="s">
        <v>703</v>
      </c>
      <c r="B17" s="39">
        <v>2018</v>
      </c>
      <c r="C17" s="40">
        <v>788333189</v>
      </c>
      <c r="D17" s="41">
        <v>73488.709838379029</v>
      </c>
      <c r="E17" s="41">
        <v>293.73022593187784</v>
      </c>
      <c r="F17" s="41">
        <v>7755.1530744481061</v>
      </c>
      <c r="G17" s="41">
        <v>653.48892450490803</v>
      </c>
      <c r="H17" s="41">
        <v>1386.7770404485341</v>
      </c>
      <c r="I17" s="41">
        <v>4566.695762658208</v>
      </c>
      <c r="J17" s="41">
        <v>9312.1831062893707</v>
      </c>
      <c r="K17" s="41">
        <v>20622.9262433244</v>
      </c>
      <c r="L17" s="41">
        <v>1728.3735836575534</v>
      </c>
      <c r="M17" s="41">
        <v>3467.9097816879589</v>
      </c>
      <c r="N17" s="41">
        <v>2396.1936974372015</v>
      </c>
      <c r="O17" s="41">
        <v>8841.0404834339024</v>
      </c>
      <c r="P17" s="41">
        <v>3300.5339288333721</v>
      </c>
      <c r="Q17" s="41">
        <v>1724.1414437732931</v>
      </c>
      <c r="R17" s="41">
        <v>13248.831267616693</v>
      </c>
      <c r="S17" s="41">
        <v>17370.258532991251</v>
      </c>
      <c r="T17" s="41">
        <v>4061.4747458319139</v>
      </c>
      <c r="U17" s="41">
        <v>4492.5724499388107</v>
      </c>
      <c r="V17" s="42">
        <v>-1329.1289568246973</v>
      </c>
      <c r="W17" s="43"/>
      <c r="X17" s="44"/>
      <c r="Y17" s="44">
        <v>3023.9</v>
      </c>
      <c r="Z17" s="44">
        <v>177381.86517436174</v>
      </c>
    </row>
    <row r="18" spans="1:237" s="45" customFormat="1" ht="14.5" x14ac:dyDescent="0.35">
      <c r="A18" s="38" t="s">
        <v>703</v>
      </c>
      <c r="B18" s="39">
        <v>2019</v>
      </c>
      <c r="C18" s="40">
        <v>860080583</v>
      </c>
      <c r="D18" s="46"/>
      <c r="E18" s="46"/>
      <c r="F18" s="46"/>
      <c r="G18" s="46"/>
      <c r="H18" s="46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5">
        <v>1670570</v>
      </c>
      <c r="X18" s="44"/>
      <c r="Y18" s="44">
        <v>3023.9</v>
      </c>
      <c r="Z18" s="47">
        <v>192038</v>
      </c>
      <c r="DA18" s="52">
        <v>2600504</v>
      </c>
      <c r="DB18" s="52">
        <v>10255743</v>
      </c>
      <c r="DC18" s="52">
        <v>1153400</v>
      </c>
      <c r="DD18" s="52">
        <v>2258200</v>
      </c>
      <c r="DE18" s="52">
        <v>1402650</v>
      </c>
      <c r="DF18" s="52">
        <v>0</v>
      </c>
      <c r="DG18" s="52">
        <v>1536820</v>
      </c>
      <c r="DH18" s="52">
        <v>2973800</v>
      </c>
      <c r="DI18" s="52">
        <v>3274795</v>
      </c>
      <c r="DJ18" s="52">
        <v>715500</v>
      </c>
      <c r="DK18" s="52">
        <v>21725</v>
      </c>
      <c r="DL18" s="52">
        <v>3524620</v>
      </c>
      <c r="DM18" s="52">
        <v>2005135</v>
      </c>
      <c r="DN18" s="52">
        <v>34500</v>
      </c>
      <c r="DO18" s="52">
        <v>3002815</v>
      </c>
      <c r="DP18" s="52">
        <v>19000</v>
      </c>
      <c r="DQ18" s="52">
        <v>424978</v>
      </c>
      <c r="DR18" s="52">
        <v>5029619</v>
      </c>
      <c r="DS18" s="52">
        <v>873360</v>
      </c>
      <c r="DT18" s="52">
        <v>27000</v>
      </c>
      <c r="DU18" s="52">
        <v>218571</v>
      </c>
      <c r="DV18" s="52">
        <v>22269012</v>
      </c>
      <c r="DW18" s="52">
        <v>33409055</v>
      </c>
      <c r="DX18" s="52">
        <v>2385280</v>
      </c>
      <c r="DY18" s="52">
        <v>76000</v>
      </c>
      <c r="DZ18" s="52">
        <v>9500</v>
      </c>
      <c r="EA18" s="52">
        <v>0</v>
      </c>
      <c r="EB18" s="52">
        <v>281495</v>
      </c>
      <c r="EC18" s="52">
        <v>10490915</v>
      </c>
      <c r="ED18" s="52">
        <v>528550</v>
      </c>
      <c r="EE18" s="52">
        <v>0</v>
      </c>
      <c r="EF18" s="52">
        <v>0</v>
      </c>
      <c r="EG18" s="52">
        <v>1208440</v>
      </c>
      <c r="EH18" s="52">
        <v>3864425</v>
      </c>
      <c r="EI18" s="52">
        <v>3650</v>
      </c>
      <c r="EJ18" s="52">
        <v>24000</v>
      </c>
      <c r="EK18" s="52">
        <v>93500</v>
      </c>
      <c r="EL18" s="52">
        <v>92250</v>
      </c>
      <c r="EM18" s="52">
        <v>486550</v>
      </c>
      <c r="EN18" s="52">
        <v>0</v>
      </c>
      <c r="EO18" s="52">
        <v>1130595</v>
      </c>
      <c r="EP18" s="52">
        <v>17943</v>
      </c>
      <c r="EQ18" s="52">
        <v>0</v>
      </c>
      <c r="ER18" s="52">
        <v>51000</v>
      </c>
      <c r="ES18" s="52">
        <v>111080</v>
      </c>
      <c r="ET18" s="52">
        <v>0</v>
      </c>
      <c r="EU18" s="52">
        <v>0</v>
      </c>
      <c r="EV18" s="52">
        <v>0</v>
      </c>
      <c r="EW18" s="52">
        <v>0</v>
      </c>
      <c r="EX18" s="52">
        <v>53793</v>
      </c>
      <c r="EY18" s="52">
        <v>10000</v>
      </c>
      <c r="EZ18" s="52">
        <v>0</v>
      </c>
      <c r="FA18" s="52">
        <v>0</v>
      </c>
      <c r="FB18" s="52">
        <v>0</v>
      </c>
      <c r="FC18" s="52">
        <v>0</v>
      </c>
      <c r="FD18" s="52">
        <v>0</v>
      </c>
      <c r="FE18" s="52">
        <v>0</v>
      </c>
      <c r="FF18" s="52">
        <v>0</v>
      </c>
      <c r="FG18" s="52">
        <v>0</v>
      </c>
      <c r="FH18" s="52">
        <v>0</v>
      </c>
    </row>
    <row r="19" spans="1:237" s="45" customFormat="1" ht="14.5" x14ac:dyDescent="0.35">
      <c r="A19" s="38" t="s">
        <v>703</v>
      </c>
      <c r="B19" s="39">
        <v>2020</v>
      </c>
      <c r="C19" s="40">
        <v>791159696</v>
      </c>
      <c r="D19" s="46">
        <v>90500</v>
      </c>
      <c r="E19" s="46">
        <v>348</v>
      </c>
      <c r="F19" s="46">
        <v>8151</v>
      </c>
      <c r="G19" s="46">
        <v>785</v>
      </c>
      <c r="H19" s="46">
        <v>1338</v>
      </c>
      <c r="I19" s="40">
        <v>6283</v>
      </c>
      <c r="J19" s="40">
        <v>10311</v>
      </c>
      <c r="K19" s="40">
        <v>23936</v>
      </c>
      <c r="L19" s="40">
        <v>1345</v>
      </c>
      <c r="M19" s="40">
        <v>4064</v>
      </c>
      <c r="N19" s="40">
        <v>2503</v>
      </c>
      <c r="O19" s="40">
        <v>9980</v>
      </c>
      <c r="P19" s="40">
        <v>3211</v>
      </c>
      <c r="Q19" s="40">
        <v>1640</v>
      </c>
      <c r="R19" s="40">
        <v>16884</v>
      </c>
      <c r="S19" s="40">
        <v>16840</v>
      </c>
      <c r="T19" s="40">
        <v>4516</v>
      </c>
      <c r="U19" s="40">
        <v>4244</v>
      </c>
      <c r="V19" s="40">
        <v>-1337</v>
      </c>
      <c r="W19" s="45">
        <v>1700411</v>
      </c>
      <c r="X19" s="44"/>
      <c r="Y19" s="44">
        <v>3023.9</v>
      </c>
      <c r="Z19" s="47">
        <v>205542</v>
      </c>
      <c r="DA19" s="51">
        <v>18988921</v>
      </c>
      <c r="DB19" s="51">
        <v>68642740</v>
      </c>
      <c r="DC19" s="51">
        <v>3765800</v>
      </c>
      <c r="DD19" s="51">
        <v>6991800</v>
      </c>
      <c r="DE19" s="51">
        <v>4312050</v>
      </c>
      <c r="DF19" s="51">
        <v>15000</v>
      </c>
      <c r="DG19" s="51">
        <v>11394270</v>
      </c>
      <c r="DH19" s="51">
        <v>19060600</v>
      </c>
      <c r="DI19" s="51">
        <v>20542934</v>
      </c>
      <c r="DJ19" s="51">
        <v>4264100</v>
      </c>
      <c r="DK19" s="51">
        <v>103173</v>
      </c>
      <c r="DL19" s="51">
        <v>9693758</v>
      </c>
      <c r="DM19" s="51">
        <v>3328815</v>
      </c>
      <c r="DN19" s="51">
        <v>52500</v>
      </c>
      <c r="DO19" s="51">
        <v>11628700</v>
      </c>
      <c r="DP19" s="51">
        <v>23000</v>
      </c>
      <c r="DQ19" s="51">
        <v>2828398</v>
      </c>
      <c r="DR19" s="51">
        <v>13028923</v>
      </c>
      <c r="DS19" s="51">
        <v>2747657</v>
      </c>
      <c r="DT19" s="51">
        <v>0</v>
      </c>
      <c r="DU19" s="51">
        <v>868910</v>
      </c>
      <c r="DV19" s="51">
        <v>38422120</v>
      </c>
      <c r="DW19" s="51">
        <v>41109320</v>
      </c>
      <c r="DX19" s="51">
        <v>4085290</v>
      </c>
      <c r="DY19" s="51">
        <v>144000</v>
      </c>
      <c r="DZ19" s="51">
        <v>34500</v>
      </c>
      <c r="EA19" s="51">
        <v>2000</v>
      </c>
      <c r="EB19" s="51">
        <v>89332</v>
      </c>
      <c r="EC19" s="51">
        <v>27743603</v>
      </c>
      <c r="ED19" s="51">
        <v>914563</v>
      </c>
      <c r="EE19" s="51">
        <v>4000</v>
      </c>
      <c r="EF19" s="51">
        <v>0</v>
      </c>
      <c r="EG19" s="51">
        <v>1621640</v>
      </c>
      <c r="EH19" s="51">
        <v>5795180</v>
      </c>
      <c r="EI19" s="51">
        <v>57735</v>
      </c>
      <c r="EJ19" s="51">
        <v>67600</v>
      </c>
      <c r="EK19" s="51">
        <v>264650</v>
      </c>
      <c r="EL19" s="51">
        <v>266000</v>
      </c>
      <c r="EM19" s="51">
        <v>567000</v>
      </c>
      <c r="EN19" s="51">
        <v>0</v>
      </c>
      <c r="EO19" s="51">
        <v>10918627.950000001</v>
      </c>
      <c r="EP19" s="51">
        <v>2903045.1</v>
      </c>
      <c r="EQ19" s="51">
        <v>0</v>
      </c>
      <c r="ER19" s="51">
        <v>41000</v>
      </c>
      <c r="ES19" s="51">
        <v>1078262</v>
      </c>
      <c r="ET19" s="51">
        <v>650948</v>
      </c>
      <c r="EU19" s="51">
        <v>0</v>
      </c>
      <c r="EV19" s="51">
        <v>0</v>
      </c>
      <c r="EW19" s="51">
        <v>0</v>
      </c>
      <c r="EX19" s="51">
        <v>1009867.5</v>
      </c>
      <c r="EY19" s="51">
        <v>228867</v>
      </c>
      <c r="EZ19" s="51">
        <v>0</v>
      </c>
      <c r="FA19" s="51">
        <v>0</v>
      </c>
      <c r="FB19" s="51">
        <v>0</v>
      </c>
      <c r="FC19" s="51">
        <v>0</v>
      </c>
      <c r="FD19" s="51">
        <v>0</v>
      </c>
      <c r="FE19" s="51">
        <v>0</v>
      </c>
      <c r="FF19" s="51">
        <v>0</v>
      </c>
      <c r="FG19" s="51">
        <v>0</v>
      </c>
      <c r="FH19" s="51">
        <v>0</v>
      </c>
    </row>
    <row r="20" spans="1:237" s="45" customFormat="1" ht="14.5" x14ac:dyDescent="0.35">
      <c r="A20" s="38" t="s">
        <v>703</v>
      </c>
      <c r="B20" s="39">
        <v>2021</v>
      </c>
      <c r="C20" s="40">
        <v>1109933175</v>
      </c>
      <c r="D20" s="46">
        <v>92207</v>
      </c>
      <c r="E20" s="46">
        <v>420</v>
      </c>
      <c r="F20" s="46">
        <v>8826</v>
      </c>
      <c r="G20" s="46">
        <v>704</v>
      </c>
      <c r="H20" s="46">
        <v>900</v>
      </c>
      <c r="I20" s="40">
        <v>7140</v>
      </c>
      <c r="J20" s="40">
        <v>11309</v>
      </c>
      <c r="K20" s="40">
        <v>30047</v>
      </c>
      <c r="L20" s="40">
        <v>2310</v>
      </c>
      <c r="M20" s="40">
        <v>4248</v>
      </c>
      <c r="N20" s="40">
        <v>2982</v>
      </c>
      <c r="O20" s="40">
        <v>10703</v>
      </c>
      <c r="P20" s="40">
        <v>3609</v>
      </c>
      <c r="Q20" s="40">
        <v>1868</v>
      </c>
      <c r="R20" s="40">
        <v>18055</v>
      </c>
      <c r="S20" s="40">
        <v>21253</v>
      </c>
      <c r="T20" s="40">
        <v>4655</v>
      </c>
      <c r="U20" s="40">
        <v>4777</v>
      </c>
      <c r="V20" s="40">
        <v>-1200</v>
      </c>
      <c r="W20" s="45">
        <v>1729265</v>
      </c>
      <c r="X20" s="44"/>
      <c r="Y20" s="44">
        <v>3023.9</v>
      </c>
      <c r="Z20" s="47">
        <v>224815</v>
      </c>
      <c r="DA20" s="51">
        <v>25045257</v>
      </c>
      <c r="DB20" s="51">
        <v>79110750</v>
      </c>
      <c r="DC20" s="51">
        <v>5460250</v>
      </c>
      <c r="DD20" s="51">
        <v>7050700</v>
      </c>
      <c r="DE20" s="51">
        <v>5384740</v>
      </c>
      <c r="DF20" s="51">
        <v>12500</v>
      </c>
      <c r="DG20" s="51">
        <v>13107668</v>
      </c>
      <c r="DH20" s="51">
        <v>20841626</v>
      </c>
      <c r="DI20" s="51">
        <v>22769829</v>
      </c>
      <c r="DJ20" s="51">
        <v>4284680</v>
      </c>
      <c r="DK20" s="51">
        <v>42500</v>
      </c>
      <c r="DL20" s="51">
        <v>9741180</v>
      </c>
      <c r="DM20" s="51">
        <v>4642750</v>
      </c>
      <c r="DN20" s="51">
        <v>64500</v>
      </c>
      <c r="DO20" s="51">
        <v>11046200</v>
      </c>
      <c r="DP20" s="51">
        <v>4000</v>
      </c>
      <c r="DQ20" s="51">
        <v>678383</v>
      </c>
      <c r="DR20" s="51">
        <v>11305955</v>
      </c>
      <c r="DS20" s="51">
        <v>2155412</v>
      </c>
      <c r="DT20" s="51">
        <v>0</v>
      </c>
      <c r="DU20" s="51">
        <v>3491320</v>
      </c>
      <c r="DV20" s="51">
        <v>39872859</v>
      </c>
      <c r="DW20" s="51">
        <v>51282310</v>
      </c>
      <c r="DX20" s="51">
        <v>3646110</v>
      </c>
      <c r="DY20" s="51">
        <v>264000</v>
      </c>
      <c r="DZ20" s="51">
        <v>41500</v>
      </c>
      <c r="EA20" s="51">
        <v>7125</v>
      </c>
      <c r="EB20" s="51">
        <v>1077800</v>
      </c>
      <c r="EC20" s="51">
        <v>32759021</v>
      </c>
      <c r="ED20" s="51">
        <v>527035</v>
      </c>
      <c r="EE20" s="51">
        <v>2000</v>
      </c>
      <c r="EF20" s="51">
        <v>0</v>
      </c>
      <c r="EG20" s="51">
        <v>1617760</v>
      </c>
      <c r="EH20" s="51">
        <v>8258130</v>
      </c>
      <c r="EI20" s="51">
        <v>188498</v>
      </c>
      <c r="EJ20" s="51">
        <v>695000</v>
      </c>
      <c r="EK20" s="51">
        <v>360500</v>
      </c>
      <c r="EL20" s="51">
        <v>156040</v>
      </c>
      <c r="EM20" s="51">
        <v>471040</v>
      </c>
      <c r="EN20" s="51">
        <v>0</v>
      </c>
      <c r="EO20" s="51">
        <v>2820513.75</v>
      </c>
      <c r="EP20" s="51">
        <v>79000</v>
      </c>
      <c r="EQ20" s="51">
        <v>0</v>
      </c>
      <c r="ER20" s="51">
        <v>53000</v>
      </c>
      <c r="ES20" s="51">
        <v>505860</v>
      </c>
      <c r="ET20" s="51">
        <v>304008</v>
      </c>
      <c r="EU20" s="51">
        <v>0</v>
      </c>
      <c r="EV20" s="51">
        <v>0</v>
      </c>
      <c r="EW20" s="51">
        <v>0</v>
      </c>
      <c r="EX20" s="51">
        <v>6000</v>
      </c>
      <c r="EY20" s="51">
        <v>56000</v>
      </c>
      <c r="EZ20" s="51">
        <v>0</v>
      </c>
      <c r="FA20" s="51">
        <v>0</v>
      </c>
      <c r="FB20" s="51">
        <v>0</v>
      </c>
      <c r="FC20" s="51">
        <v>0</v>
      </c>
      <c r="FD20" s="51">
        <v>0</v>
      </c>
      <c r="FE20" s="51">
        <v>0</v>
      </c>
      <c r="FF20" s="51">
        <v>0</v>
      </c>
      <c r="FG20" s="51">
        <v>0</v>
      </c>
      <c r="FH20" s="51">
        <v>0</v>
      </c>
    </row>
    <row r="21" spans="1:237" s="45" customFormat="1" ht="14.5" x14ac:dyDescent="0.35">
      <c r="A21" s="38" t="s">
        <v>703</v>
      </c>
      <c r="B21" s="39">
        <v>2022</v>
      </c>
      <c r="C21" s="40">
        <v>1110829943</v>
      </c>
      <c r="D21" s="46">
        <v>107476</v>
      </c>
      <c r="E21" s="46">
        <v>546</v>
      </c>
      <c r="F21" s="46">
        <v>8342</v>
      </c>
      <c r="G21" s="46">
        <v>617</v>
      </c>
      <c r="H21" s="46">
        <v>834</v>
      </c>
      <c r="I21" s="40">
        <v>7993</v>
      </c>
      <c r="J21" s="40">
        <v>12505</v>
      </c>
      <c r="K21" s="40">
        <v>38652</v>
      </c>
      <c r="L21" s="40">
        <v>2546</v>
      </c>
      <c r="M21" s="40">
        <v>4690</v>
      </c>
      <c r="N21" s="40">
        <v>3498</v>
      </c>
      <c r="O21" s="40">
        <v>11496</v>
      </c>
      <c r="P21" s="40">
        <v>3785</v>
      </c>
      <c r="Q21" s="40">
        <v>2308</v>
      </c>
      <c r="R21" s="40">
        <v>19915</v>
      </c>
      <c r="S21" s="40">
        <v>22167</v>
      </c>
      <c r="T21" s="40">
        <v>4390</v>
      </c>
      <c r="U21" s="40">
        <v>5226</v>
      </c>
      <c r="V21" s="40">
        <v>-1286</v>
      </c>
      <c r="W21" s="45">
        <v>1758119</v>
      </c>
      <c r="X21" s="45">
        <v>583237</v>
      </c>
      <c r="Y21" s="44">
        <v>3023.9</v>
      </c>
      <c r="Z21" s="47">
        <v>255699</v>
      </c>
      <c r="DA21" s="51">
        <v>24348763</v>
      </c>
      <c r="DB21" s="51">
        <v>75590350</v>
      </c>
      <c r="DC21" s="51">
        <v>6159050</v>
      </c>
      <c r="DD21" s="51">
        <v>8696103</v>
      </c>
      <c r="DE21" s="51">
        <v>3495500</v>
      </c>
      <c r="DF21" s="51">
        <v>7500</v>
      </c>
      <c r="DG21" s="51">
        <v>12685627</v>
      </c>
      <c r="DH21" s="51">
        <v>20935550</v>
      </c>
      <c r="DI21" s="51">
        <v>23976610</v>
      </c>
      <c r="DJ21" s="51">
        <v>3607835</v>
      </c>
      <c r="DK21" s="51">
        <v>15500</v>
      </c>
      <c r="DL21" s="51">
        <v>9793249</v>
      </c>
      <c r="DM21" s="51">
        <v>1278770</v>
      </c>
      <c r="DN21" s="51">
        <v>58500</v>
      </c>
      <c r="DO21" s="51">
        <v>9396300</v>
      </c>
      <c r="DP21" s="51">
        <v>67000</v>
      </c>
      <c r="DQ21" s="51">
        <v>63499</v>
      </c>
      <c r="DR21" s="51">
        <v>8961586</v>
      </c>
      <c r="DS21" s="51">
        <v>1613150</v>
      </c>
      <c r="DT21" s="51">
        <v>0</v>
      </c>
      <c r="DU21" s="51">
        <v>2644291</v>
      </c>
      <c r="DV21" s="51">
        <v>29163325</v>
      </c>
      <c r="DW21" s="51">
        <v>62762900</v>
      </c>
      <c r="DX21" s="51">
        <v>2737954</v>
      </c>
      <c r="DY21" s="51">
        <v>288000</v>
      </c>
      <c r="DZ21" s="51">
        <v>36500</v>
      </c>
      <c r="EA21" s="51">
        <v>1500</v>
      </c>
      <c r="EB21" s="51">
        <v>2419578</v>
      </c>
      <c r="EC21" s="51">
        <v>52367306</v>
      </c>
      <c r="ED21" s="51">
        <v>247725</v>
      </c>
      <c r="EE21" s="51">
        <v>0</v>
      </c>
      <c r="EF21" s="51">
        <v>0</v>
      </c>
      <c r="EG21" s="51">
        <v>1404350</v>
      </c>
      <c r="EH21" s="51">
        <v>8631780</v>
      </c>
      <c r="EI21" s="51">
        <v>80275</v>
      </c>
      <c r="EJ21" s="51">
        <v>95000</v>
      </c>
      <c r="EK21" s="51">
        <v>335000</v>
      </c>
      <c r="EL21" s="51">
        <v>144000</v>
      </c>
      <c r="EM21" s="51">
        <v>100705</v>
      </c>
      <c r="EN21" s="51">
        <v>0</v>
      </c>
      <c r="EO21" s="51">
        <v>4574437.3499999996</v>
      </c>
      <c r="EP21" s="51">
        <v>234456</v>
      </c>
      <c r="EQ21" s="51">
        <v>0</v>
      </c>
      <c r="ER21" s="51">
        <v>16000</v>
      </c>
      <c r="ES21" s="51">
        <v>167090</v>
      </c>
      <c r="ET21" s="51">
        <v>0</v>
      </c>
      <c r="EU21" s="51">
        <v>0</v>
      </c>
      <c r="EV21" s="51">
        <v>0</v>
      </c>
      <c r="EW21" s="51">
        <v>0</v>
      </c>
      <c r="EX21" s="51">
        <v>23000</v>
      </c>
      <c r="EY21" s="51">
        <v>6000</v>
      </c>
      <c r="EZ21" s="51">
        <v>201987</v>
      </c>
      <c r="FA21" s="51">
        <v>0</v>
      </c>
      <c r="FB21" s="51">
        <v>0</v>
      </c>
      <c r="FC21" s="51">
        <v>0</v>
      </c>
      <c r="FD21" s="53"/>
      <c r="FE21" s="53"/>
      <c r="FF21" s="53"/>
      <c r="FG21" s="53"/>
      <c r="FH21" s="53"/>
    </row>
    <row r="22" spans="1:237" s="45" customFormat="1" ht="14.5" x14ac:dyDescent="0.35">
      <c r="A22" s="38" t="s">
        <v>703</v>
      </c>
      <c r="B22" s="39">
        <v>2023</v>
      </c>
      <c r="C22" s="40">
        <v>1111726711</v>
      </c>
      <c r="D22" s="50">
        <v>106686</v>
      </c>
      <c r="E22" s="15">
        <v>472</v>
      </c>
      <c r="F22" s="50">
        <v>9051</v>
      </c>
      <c r="G22" s="15">
        <v>993</v>
      </c>
      <c r="H22" s="50">
        <v>1268</v>
      </c>
      <c r="I22" s="50">
        <v>8422</v>
      </c>
      <c r="J22" s="50">
        <v>13714</v>
      </c>
      <c r="K22" s="50">
        <v>45068</v>
      </c>
      <c r="L22" s="50">
        <v>3297</v>
      </c>
      <c r="M22" s="50">
        <v>4959</v>
      </c>
      <c r="N22" s="50">
        <v>4099</v>
      </c>
      <c r="O22" s="50">
        <v>12524</v>
      </c>
      <c r="P22" s="50">
        <v>4149</v>
      </c>
      <c r="Q22" s="50">
        <v>2734</v>
      </c>
      <c r="R22" s="50">
        <v>20243</v>
      </c>
      <c r="S22" s="50">
        <v>22813</v>
      </c>
      <c r="T22" s="50">
        <v>4480</v>
      </c>
      <c r="U22" s="50">
        <v>5708</v>
      </c>
      <c r="V22" s="50">
        <v>-1998</v>
      </c>
      <c r="W22" s="45">
        <v>1786973</v>
      </c>
      <c r="X22" s="44"/>
      <c r="Y22" s="44">
        <v>3023.9</v>
      </c>
      <c r="Z22" s="47"/>
      <c r="DA22" s="54">
        <v>20971115</v>
      </c>
      <c r="DB22" s="54">
        <v>77769685</v>
      </c>
      <c r="DC22" s="54">
        <v>7708450</v>
      </c>
      <c r="DD22" s="54">
        <v>6955730</v>
      </c>
      <c r="DE22" s="54">
        <v>5047000</v>
      </c>
      <c r="DF22" s="54">
        <v>34500</v>
      </c>
      <c r="DG22" s="54">
        <v>13100638</v>
      </c>
      <c r="DH22" s="54">
        <v>21190750</v>
      </c>
      <c r="DI22" s="54">
        <v>23307445</v>
      </c>
      <c r="DJ22" s="54">
        <v>3400740</v>
      </c>
      <c r="DK22" s="54">
        <v>32730</v>
      </c>
      <c r="DL22" s="54">
        <v>9030640</v>
      </c>
      <c r="DM22" s="54">
        <v>3926100</v>
      </c>
      <c r="DN22" s="54">
        <v>58500</v>
      </c>
      <c r="DO22" s="54">
        <v>8638900</v>
      </c>
      <c r="DP22" s="54">
        <v>36000</v>
      </c>
      <c r="DQ22" s="54">
        <v>87284</v>
      </c>
      <c r="DR22" s="54">
        <v>8647816</v>
      </c>
      <c r="DS22" s="54">
        <v>1590291</v>
      </c>
      <c r="DT22" s="54">
        <v>0</v>
      </c>
      <c r="DU22" s="54">
        <v>2790052</v>
      </c>
      <c r="DV22" s="54">
        <v>31001480</v>
      </c>
      <c r="DW22" s="54">
        <v>60123869</v>
      </c>
      <c r="DX22" s="54">
        <v>3238100</v>
      </c>
      <c r="DY22" s="54">
        <v>132000</v>
      </c>
      <c r="DZ22" s="54">
        <v>26000</v>
      </c>
      <c r="EA22" s="54">
        <v>3000</v>
      </c>
      <c r="EB22" s="54">
        <v>3090875</v>
      </c>
      <c r="EC22" s="54">
        <v>29224489</v>
      </c>
      <c r="ED22" s="54">
        <v>380400</v>
      </c>
      <c r="EE22" s="54">
        <v>0</v>
      </c>
      <c r="EF22" s="54">
        <v>0</v>
      </c>
      <c r="EG22" s="54">
        <v>2270042</v>
      </c>
      <c r="EH22" s="54">
        <v>7611800</v>
      </c>
      <c r="EI22" s="54">
        <v>5500</v>
      </c>
      <c r="EJ22" s="54">
        <v>62000</v>
      </c>
      <c r="EK22" s="54">
        <v>248000</v>
      </c>
      <c r="EL22" s="54">
        <v>134000</v>
      </c>
      <c r="EM22" s="54">
        <v>135000</v>
      </c>
      <c r="EN22" s="54">
        <v>0</v>
      </c>
      <c r="EO22" s="54">
        <v>11146062.449999999</v>
      </c>
      <c r="EP22" s="54">
        <v>135927</v>
      </c>
      <c r="EQ22" s="54">
        <v>0</v>
      </c>
      <c r="ER22" s="54">
        <v>1000</v>
      </c>
      <c r="ES22" s="54">
        <v>546020</v>
      </c>
      <c r="ET22" s="54">
        <v>200000</v>
      </c>
      <c r="EU22" s="54">
        <v>0</v>
      </c>
      <c r="EV22" s="54">
        <v>0</v>
      </c>
      <c r="EW22" s="54">
        <v>0</v>
      </c>
      <c r="EX22" s="54">
        <v>81000</v>
      </c>
      <c r="EY22" s="54">
        <v>234000</v>
      </c>
      <c r="EZ22" s="54">
        <v>129180</v>
      </c>
      <c r="FA22" s="54">
        <v>70150</v>
      </c>
      <c r="FB22" s="54">
        <v>0</v>
      </c>
      <c r="FC22" s="54">
        <v>9739884</v>
      </c>
      <c r="FD22" s="54">
        <v>19500</v>
      </c>
      <c r="FE22" s="54">
        <v>76000</v>
      </c>
      <c r="FF22" s="54">
        <v>288500</v>
      </c>
      <c r="FG22" s="54">
        <v>26200</v>
      </c>
      <c r="FH22" s="54">
        <v>65000</v>
      </c>
    </row>
    <row r="23" spans="1:237" s="45" customFormat="1" ht="14.5" x14ac:dyDescent="0.35">
      <c r="A23" s="38" t="s">
        <v>704</v>
      </c>
      <c r="B23" s="39">
        <v>2017</v>
      </c>
      <c r="C23" s="40">
        <v>176294585</v>
      </c>
      <c r="D23" s="41">
        <v>21577.394398811077</v>
      </c>
      <c r="E23" s="41">
        <v>327.97015336352501</v>
      </c>
      <c r="F23" s="41">
        <v>2065.8744122655253</v>
      </c>
      <c r="G23" s="41">
        <v>122.47496793702825</v>
      </c>
      <c r="H23" s="41">
        <v>601.04452016048992</v>
      </c>
      <c r="I23" s="41">
        <v>5415.8588258418768</v>
      </c>
      <c r="J23" s="41">
        <v>2357.6045638020073</v>
      </c>
      <c r="K23" s="41">
        <v>4201.341250851473</v>
      </c>
      <c r="L23" s="41">
        <v>117.16136998797495</v>
      </c>
      <c r="M23" s="41">
        <v>893.53894071212562</v>
      </c>
      <c r="N23" s="41">
        <v>1261.491418885234</v>
      </c>
      <c r="O23" s="41">
        <v>3462.9470294252287</v>
      </c>
      <c r="P23" s="41">
        <v>1495.7875719868146</v>
      </c>
      <c r="Q23" s="41">
        <v>688.38876744659683</v>
      </c>
      <c r="R23" s="41">
        <v>8843.1239652672393</v>
      </c>
      <c r="S23" s="41">
        <v>6470.2827780318803</v>
      </c>
      <c r="T23" s="41">
        <v>2304.1990690480688</v>
      </c>
      <c r="U23" s="41">
        <v>2684.5809186876108</v>
      </c>
      <c r="V23" s="42">
        <v>-425.75963458630099</v>
      </c>
      <c r="W23" s="43"/>
      <c r="X23" s="44"/>
      <c r="Y23" s="44">
        <v>1696.3</v>
      </c>
      <c r="Z23" s="44">
        <v>64465.305287925476</v>
      </c>
    </row>
    <row r="24" spans="1:237" s="45" customFormat="1" ht="14.5" x14ac:dyDescent="0.35">
      <c r="A24" s="38" t="s">
        <v>704</v>
      </c>
      <c r="B24" s="39">
        <v>2018</v>
      </c>
      <c r="C24" s="40">
        <v>292732697</v>
      </c>
      <c r="D24" s="41">
        <v>22149.78330690509</v>
      </c>
      <c r="E24" s="41">
        <v>307.28434973927477</v>
      </c>
      <c r="F24" s="41">
        <v>2298.5789048212282</v>
      </c>
      <c r="G24" s="41">
        <v>200.65917132581512</v>
      </c>
      <c r="H24" s="41">
        <v>611.97846786487025</v>
      </c>
      <c r="I24" s="41">
        <v>6482.8913268084234</v>
      </c>
      <c r="J24" s="41">
        <v>2445.3894475931725</v>
      </c>
      <c r="K24" s="41">
        <v>7550.488156022283</v>
      </c>
      <c r="L24" s="41">
        <v>137.45533655008526</v>
      </c>
      <c r="M24" s="41">
        <v>951.14727177843099</v>
      </c>
      <c r="N24" s="41">
        <v>950.68702683298375</v>
      </c>
      <c r="O24" s="41">
        <v>3847.1406658033816</v>
      </c>
      <c r="P24" s="41">
        <v>1589.2144870335578</v>
      </c>
      <c r="Q24" s="41">
        <v>804.50649490013916</v>
      </c>
      <c r="R24" s="41">
        <v>8630.8506695744727</v>
      </c>
      <c r="S24" s="41">
        <v>7340.9293502223591</v>
      </c>
      <c r="T24" s="41">
        <v>2658.894385411746</v>
      </c>
      <c r="U24" s="41">
        <v>2963.1847883500891</v>
      </c>
      <c r="V24" s="42">
        <v>-512.79873499526184</v>
      </c>
      <c r="W24" s="43"/>
      <c r="X24" s="44"/>
      <c r="Y24" s="44">
        <v>1696.3</v>
      </c>
      <c r="Z24" s="44">
        <v>71408.264872542146</v>
      </c>
    </row>
    <row r="25" spans="1:237" s="45" customFormat="1" x14ac:dyDescent="0.3">
      <c r="A25" s="38" t="s">
        <v>704</v>
      </c>
      <c r="B25" s="39">
        <v>2019</v>
      </c>
      <c r="C25" s="40">
        <v>225827434</v>
      </c>
      <c r="D25" s="46"/>
      <c r="E25" s="46"/>
      <c r="F25" s="46"/>
      <c r="G25" s="46"/>
      <c r="H25" s="46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5">
        <v>893681</v>
      </c>
      <c r="X25" s="44"/>
      <c r="Y25" s="44">
        <v>1696.3</v>
      </c>
      <c r="Z25" s="47">
        <v>82172</v>
      </c>
      <c r="FI25" s="55">
        <v>114000</v>
      </c>
      <c r="FJ25" s="55">
        <v>0</v>
      </c>
      <c r="FK25" s="55">
        <v>0</v>
      </c>
      <c r="FL25" s="55">
        <v>123700</v>
      </c>
      <c r="FM25" s="55">
        <v>0</v>
      </c>
      <c r="FN25" s="55">
        <v>3828127.4</v>
      </c>
      <c r="FO25" s="55">
        <v>14574880</v>
      </c>
      <c r="FP25" s="55">
        <v>1586053</v>
      </c>
      <c r="FQ25" s="55">
        <v>1639160</v>
      </c>
      <c r="FR25" s="55">
        <v>0</v>
      </c>
      <c r="FS25" s="55">
        <v>743000</v>
      </c>
      <c r="FT25" s="55">
        <v>926570</v>
      </c>
      <c r="FU25" s="55">
        <v>1612280</v>
      </c>
      <c r="FV25" s="55">
        <v>40150</v>
      </c>
      <c r="FW25" s="55">
        <v>6900</v>
      </c>
      <c r="FX25" s="55">
        <v>0</v>
      </c>
      <c r="FY25" s="55">
        <v>54800</v>
      </c>
      <c r="FZ25" s="55">
        <v>0</v>
      </c>
      <c r="GA25" s="55">
        <v>116660</v>
      </c>
      <c r="GB25" s="55">
        <v>0</v>
      </c>
      <c r="GC25" s="55">
        <v>0</v>
      </c>
      <c r="GD25" s="55">
        <v>338550</v>
      </c>
      <c r="GE25" s="55">
        <v>27000</v>
      </c>
      <c r="GF25" s="55">
        <v>0</v>
      </c>
      <c r="GG25" s="55">
        <v>2500</v>
      </c>
      <c r="GH25" s="55">
        <v>0</v>
      </c>
      <c r="GI25" s="55">
        <v>0</v>
      </c>
      <c r="GJ25" s="55">
        <v>8000</v>
      </c>
      <c r="GK25" s="55">
        <v>0</v>
      </c>
      <c r="GL25" s="55">
        <v>2996480</v>
      </c>
      <c r="GM25" s="55">
        <v>30804156</v>
      </c>
      <c r="GN25" s="55">
        <v>656705</v>
      </c>
      <c r="GO25" s="55">
        <v>0</v>
      </c>
      <c r="GP25" s="55">
        <v>0</v>
      </c>
      <c r="GQ25" s="55">
        <v>771500</v>
      </c>
      <c r="GR25" s="55">
        <v>0</v>
      </c>
      <c r="GS25" s="55">
        <v>45663</v>
      </c>
      <c r="GT25" s="55">
        <v>0</v>
      </c>
      <c r="GU25" s="55">
        <v>763997</v>
      </c>
      <c r="GV25" s="55">
        <v>0</v>
      </c>
      <c r="GW25" s="55">
        <v>0</v>
      </c>
      <c r="GX25" s="55">
        <v>0</v>
      </c>
      <c r="GY25" s="55">
        <v>1037646</v>
      </c>
      <c r="GZ25" s="55">
        <v>0</v>
      </c>
      <c r="HA25" s="55">
        <v>0</v>
      </c>
      <c r="HB25" s="55">
        <v>2015200</v>
      </c>
      <c r="HC25" s="55">
        <v>5873280</v>
      </c>
      <c r="HD25" s="55">
        <v>15608505</v>
      </c>
      <c r="HE25" s="55">
        <v>0</v>
      </c>
      <c r="HF25" s="55">
        <v>0</v>
      </c>
      <c r="HG25" s="55">
        <v>0</v>
      </c>
      <c r="HH25" s="55">
        <v>131295</v>
      </c>
      <c r="HI25" s="55">
        <v>222070</v>
      </c>
      <c r="HJ25" s="55">
        <v>0</v>
      </c>
      <c r="HK25" s="55">
        <v>0</v>
      </c>
      <c r="HL25" s="55">
        <v>529273</v>
      </c>
      <c r="HM25" s="55">
        <v>141305</v>
      </c>
      <c r="HN25" s="55">
        <v>0</v>
      </c>
      <c r="HO25" s="55">
        <v>5700</v>
      </c>
      <c r="HP25" s="55">
        <v>290756</v>
      </c>
      <c r="HQ25" s="55">
        <v>209903</v>
      </c>
      <c r="HR25" s="55">
        <v>152400</v>
      </c>
      <c r="HS25" s="55">
        <v>57000</v>
      </c>
      <c r="HT25" s="55">
        <v>9100214</v>
      </c>
      <c r="HU25" s="55">
        <v>391770</v>
      </c>
      <c r="HV25" s="55">
        <v>800950</v>
      </c>
      <c r="HW25" s="55">
        <v>8742190</v>
      </c>
      <c r="HX25" s="55">
        <v>0</v>
      </c>
      <c r="HY25" s="55">
        <v>17140</v>
      </c>
      <c r="HZ25" s="55">
        <v>3220</v>
      </c>
      <c r="IA25" s="55">
        <v>0</v>
      </c>
      <c r="IB25" s="55">
        <v>0</v>
      </c>
      <c r="IC25" s="55">
        <v>4526662.63</v>
      </c>
    </row>
    <row r="26" spans="1:237" s="45" customFormat="1" x14ac:dyDescent="0.3">
      <c r="A26" s="38" t="s">
        <v>704</v>
      </c>
      <c r="B26" s="39">
        <v>2020</v>
      </c>
      <c r="C26" s="40">
        <v>387149606</v>
      </c>
      <c r="D26" s="56">
        <v>30976</v>
      </c>
      <c r="E26" s="57">
        <v>342</v>
      </c>
      <c r="F26" s="58">
        <v>3183</v>
      </c>
      <c r="G26" s="59">
        <v>233</v>
      </c>
      <c r="H26" s="59">
        <v>673</v>
      </c>
      <c r="I26" s="56">
        <v>8913</v>
      </c>
      <c r="J26" s="56">
        <v>2593</v>
      </c>
      <c r="K26" s="58">
        <v>8834</v>
      </c>
      <c r="L26" s="59">
        <v>107</v>
      </c>
      <c r="M26" s="58">
        <v>1116</v>
      </c>
      <c r="N26" s="58">
        <v>1146</v>
      </c>
      <c r="O26" s="58">
        <v>4341</v>
      </c>
      <c r="P26" s="58">
        <v>1546</v>
      </c>
      <c r="Q26" s="59">
        <v>765</v>
      </c>
      <c r="R26" s="58">
        <v>11138</v>
      </c>
      <c r="S26" s="58">
        <v>7734</v>
      </c>
      <c r="T26" s="58">
        <v>2811</v>
      </c>
      <c r="U26" s="58">
        <v>2817</v>
      </c>
      <c r="V26" s="60">
        <v>-538</v>
      </c>
      <c r="W26" s="45">
        <v>913595</v>
      </c>
      <c r="X26" s="44"/>
      <c r="Y26" s="44">
        <v>1696.3</v>
      </c>
      <c r="Z26" s="47">
        <v>88731</v>
      </c>
      <c r="FI26" s="55">
        <v>568000</v>
      </c>
      <c r="FJ26" s="55">
        <v>0</v>
      </c>
      <c r="FK26" s="55">
        <v>0</v>
      </c>
      <c r="FL26" s="55">
        <v>175500</v>
      </c>
      <c r="FM26" s="55">
        <v>0</v>
      </c>
      <c r="FN26" s="55">
        <v>4958584.45</v>
      </c>
      <c r="FO26" s="55">
        <v>31972210</v>
      </c>
      <c r="FP26" s="55">
        <v>1659668</v>
      </c>
      <c r="FQ26" s="55">
        <v>1070700</v>
      </c>
      <c r="FR26" s="55">
        <v>81500</v>
      </c>
      <c r="FS26" s="55">
        <v>5172475</v>
      </c>
      <c r="FT26" s="55">
        <v>1640255</v>
      </c>
      <c r="FU26" s="55">
        <v>2133130</v>
      </c>
      <c r="FV26" s="55">
        <v>323270</v>
      </c>
      <c r="FW26" s="55">
        <v>38100</v>
      </c>
      <c r="FX26" s="55">
        <v>16000</v>
      </c>
      <c r="FY26" s="55">
        <v>83750</v>
      </c>
      <c r="FZ26" s="55">
        <v>0</v>
      </c>
      <c r="GA26" s="55">
        <v>171540</v>
      </c>
      <c r="GB26" s="55">
        <v>0</v>
      </c>
      <c r="GC26" s="55">
        <v>38800</v>
      </c>
      <c r="GD26" s="55">
        <v>537045</v>
      </c>
      <c r="GE26" s="55">
        <v>37500</v>
      </c>
      <c r="GF26" s="55">
        <v>2750000</v>
      </c>
      <c r="GG26" s="55">
        <v>23650</v>
      </c>
      <c r="GH26" s="55">
        <v>0</v>
      </c>
      <c r="GI26" s="55">
        <v>0</v>
      </c>
      <c r="GJ26" s="55">
        <v>0</v>
      </c>
      <c r="GK26" s="55">
        <v>0</v>
      </c>
      <c r="GL26" s="55">
        <v>5406362</v>
      </c>
      <c r="GM26" s="55">
        <v>99658473.5</v>
      </c>
      <c r="GN26" s="55">
        <v>1614190</v>
      </c>
      <c r="GO26" s="55">
        <v>59000041</v>
      </c>
      <c r="GP26" s="55">
        <v>0</v>
      </c>
      <c r="GQ26" s="55">
        <v>3346710</v>
      </c>
      <c r="GR26" s="55">
        <v>0</v>
      </c>
      <c r="GS26" s="55">
        <v>785393</v>
      </c>
      <c r="GT26" s="55">
        <v>45664</v>
      </c>
      <c r="GU26" s="55">
        <v>1223296</v>
      </c>
      <c r="GV26" s="55">
        <v>0</v>
      </c>
      <c r="GW26" s="55">
        <v>0</v>
      </c>
      <c r="GX26" s="55">
        <v>0</v>
      </c>
      <c r="GY26" s="55">
        <v>1384400</v>
      </c>
      <c r="GZ26" s="55">
        <v>307000</v>
      </c>
      <c r="HA26" s="55">
        <v>0</v>
      </c>
      <c r="HB26" s="55">
        <v>6883550</v>
      </c>
      <c r="HC26" s="55">
        <v>5710760</v>
      </c>
      <c r="HD26" s="55">
        <v>18428495</v>
      </c>
      <c r="HE26" s="55">
        <v>0</v>
      </c>
      <c r="HF26" s="55">
        <v>0</v>
      </c>
      <c r="HG26" s="55">
        <v>357500</v>
      </c>
      <c r="HH26" s="55">
        <v>808030</v>
      </c>
      <c r="HI26" s="55">
        <v>670340</v>
      </c>
      <c r="HJ26" s="55">
        <v>0</v>
      </c>
      <c r="HK26" s="55">
        <v>0</v>
      </c>
      <c r="HL26" s="55">
        <v>556186</v>
      </c>
      <c r="HM26" s="55">
        <v>319664</v>
      </c>
      <c r="HN26" s="55">
        <v>0</v>
      </c>
      <c r="HO26" s="55">
        <v>268960</v>
      </c>
      <c r="HP26" s="55">
        <v>267754</v>
      </c>
      <c r="HQ26" s="55">
        <v>930676</v>
      </c>
      <c r="HR26" s="55">
        <v>30800</v>
      </c>
      <c r="HS26" s="55">
        <v>102200</v>
      </c>
      <c r="HT26" s="55">
        <v>38725331</v>
      </c>
      <c r="HU26" s="55">
        <v>578630</v>
      </c>
      <c r="HV26" s="55">
        <v>519780</v>
      </c>
      <c r="HW26" s="55">
        <v>11396070</v>
      </c>
      <c r="HX26" s="55">
        <v>0</v>
      </c>
      <c r="HY26" s="55">
        <v>239890</v>
      </c>
      <c r="HZ26" s="55">
        <v>22680</v>
      </c>
      <c r="IA26" s="55">
        <v>0</v>
      </c>
      <c r="IB26" s="55">
        <v>0</v>
      </c>
      <c r="IC26" s="55">
        <v>11500071.5</v>
      </c>
    </row>
    <row r="27" spans="1:237" s="45" customFormat="1" x14ac:dyDescent="0.3">
      <c r="A27" s="38" t="s">
        <v>704</v>
      </c>
      <c r="B27" s="39">
        <v>2021</v>
      </c>
      <c r="C27" s="40">
        <v>292708434</v>
      </c>
      <c r="D27" s="46">
        <v>32140</v>
      </c>
      <c r="E27" s="46">
        <v>409</v>
      </c>
      <c r="F27" s="46">
        <v>4409</v>
      </c>
      <c r="G27" s="46">
        <v>227</v>
      </c>
      <c r="H27" s="46">
        <v>629</v>
      </c>
      <c r="I27" s="40">
        <v>10092</v>
      </c>
      <c r="J27" s="40">
        <v>2837</v>
      </c>
      <c r="K27" s="40">
        <v>12335</v>
      </c>
      <c r="L27" s="40">
        <v>184</v>
      </c>
      <c r="M27" s="40">
        <v>1166</v>
      </c>
      <c r="N27" s="40">
        <v>1409</v>
      </c>
      <c r="O27" s="40">
        <v>4640</v>
      </c>
      <c r="P27" s="40">
        <v>1738</v>
      </c>
      <c r="Q27" s="40">
        <v>872</v>
      </c>
      <c r="R27" s="40">
        <v>10260</v>
      </c>
      <c r="S27" s="40">
        <v>9729</v>
      </c>
      <c r="T27" s="40">
        <v>3591</v>
      </c>
      <c r="U27" s="40">
        <v>3165</v>
      </c>
      <c r="V27" s="40">
        <v>-480</v>
      </c>
      <c r="W27" s="45">
        <v>931984</v>
      </c>
      <c r="X27" s="44"/>
      <c r="Y27" s="44">
        <v>1696.3</v>
      </c>
      <c r="Z27" s="47">
        <v>99351</v>
      </c>
      <c r="FI27" s="61">
        <v>846100</v>
      </c>
      <c r="FJ27" s="61">
        <v>0</v>
      </c>
      <c r="FK27" s="61">
        <v>0</v>
      </c>
      <c r="FL27" s="61">
        <v>493110</v>
      </c>
      <c r="FM27" s="61">
        <v>0</v>
      </c>
      <c r="FN27" s="61">
        <v>7700717.25</v>
      </c>
      <c r="FO27" s="61">
        <v>31273330</v>
      </c>
      <c r="FP27" s="61">
        <v>1254243</v>
      </c>
      <c r="FQ27" s="61">
        <v>718110</v>
      </c>
      <c r="FR27" s="61">
        <v>17000</v>
      </c>
      <c r="FS27" s="61">
        <v>2414895</v>
      </c>
      <c r="FT27" s="61">
        <v>1718305</v>
      </c>
      <c r="FU27" s="61">
        <v>3430470</v>
      </c>
      <c r="FV27" s="61">
        <v>289000</v>
      </c>
      <c r="FW27" s="61">
        <v>150990</v>
      </c>
      <c r="FX27" s="61">
        <v>99000</v>
      </c>
      <c r="FY27" s="61">
        <v>273350</v>
      </c>
      <c r="FZ27" s="61">
        <v>0</v>
      </c>
      <c r="GA27" s="61">
        <v>109040</v>
      </c>
      <c r="GB27" s="61">
        <v>50750</v>
      </c>
      <c r="GC27" s="61">
        <v>0</v>
      </c>
      <c r="GD27" s="61">
        <v>423820</v>
      </c>
      <c r="GE27" s="61">
        <v>99000</v>
      </c>
      <c r="GF27" s="61">
        <v>99250</v>
      </c>
      <c r="GG27" s="61">
        <v>1277050</v>
      </c>
      <c r="GH27" s="61">
        <v>0</v>
      </c>
      <c r="GI27" s="61">
        <v>0</v>
      </c>
      <c r="GJ27" s="61">
        <v>0</v>
      </c>
      <c r="GK27" s="61">
        <v>0</v>
      </c>
      <c r="GL27" s="61">
        <v>6275520</v>
      </c>
      <c r="GM27" s="61">
        <v>70437708</v>
      </c>
      <c r="GN27" s="61">
        <v>2882170</v>
      </c>
      <c r="GO27" s="61">
        <v>0</v>
      </c>
      <c r="GP27" s="61">
        <v>0</v>
      </c>
      <c r="GQ27" s="61">
        <v>7846235</v>
      </c>
      <c r="GR27" s="61">
        <v>0</v>
      </c>
      <c r="GS27" s="61">
        <v>3495953</v>
      </c>
      <c r="GT27" s="61">
        <v>0</v>
      </c>
      <c r="GU27" s="61">
        <v>1725276</v>
      </c>
      <c r="GV27" s="61">
        <v>0</v>
      </c>
      <c r="GW27" s="61">
        <v>0</v>
      </c>
      <c r="GX27" s="61">
        <v>0</v>
      </c>
      <c r="GY27" s="61">
        <v>11317290.35</v>
      </c>
      <c r="GZ27" s="61">
        <v>0</v>
      </c>
      <c r="HA27" s="61">
        <v>0</v>
      </c>
      <c r="HB27" s="61">
        <v>7741600</v>
      </c>
      <c r="HC27" s="61">
        <v>5972290</v>
      </c>
      <c r="HD27" s="61">
        <v>31937395</v>
      </c>
      <c r="HE27" s="61">
        <v>0</v>
      </c>
      <c r="HF27" s="61">
        <v>0</v>
      </c>
      <c r="HG27" s="61">
        <v>433000</v>
      </c>
      <c r="HH27" s="61">
        <v>1795100</v>
      </c>
      <c r="HI27" s="61">
        <v>2296950</v>
      </c>
      <c r="HJ27" s="61">
        <v>0</v>
      </c>
      <c r="HK27" s="61">
        <v>0</v>
      </c>
      <c r="HL27" s="61">
        <v>1047009</v>
      </c>
      <c r="HM27" s="61">
        <v>359550</v>
      </c>
      <c r="HN27" s="61">
        <v>69406</v>
      </c>
      <c r="HO27" s="61">
        <v>367109</v>
      </c>
      <c r="HP27" s="61">
        <v>915774</v>
      </c>
      <c r="HQ27" s="61">
        <v>841633</v>
      </c>
      <c r="HR27" s="61">
        <v>255500</v>
      </c>
      <c r="HS27" s="61">
        <v>473000</v>
      </c>
      <c r="HT27" s="61">
        <v>61201321</v>
      </c>
      <c r="HU27" s="61">
        <v>693594</v>
      </c>
      <c r="HV27" s="61">
        <v>0</v>
      </c>
      <c r="HW27" s="61">
        <v>16476941</v>
      </c>
      <c r="HX27" s="61">
        <v>0</v>
      </c>
      <c r="HY27" s="61">
        <v>195750</v>
      </c>
      <c r="HZ27" s="61">
        <v>10570</v>
      </c>
      <c r="IA27" s="61">
        <v>0</v>
      </c>
      <c r="IB27" s="61">
        <v>0</v>
      </c>
      <c r="IC27" s="61">
        <v>2436308.0300000003</v>
      </c>
    </row>
    <row r="28" spans="1:237" s="45" customFormat="1" x14ac:dyDescent="0.3">
      <c r="A28" s="38" t="s">
        <v>704</v>
      </c>
      <c r="B28" s="39">
        <v>2022</v>
      </c>
      <c r="C28" s="40">
        <v>343922976</v>
      </c>
      <c r="D28" s="46">
        <v>39408</v>
      </c>
      <c r="E28" s="46">
        <v>530</v>
      </c>
      <c r="F28" s="46">
        <v>5746</v>
      </c>
      <c r="G28" s="46">
        <v>211</v>
      </c>
      <c r="H28" s="46">
        <v>601</v>
      </c>
      <c r="I28" s="40">
        <v>11332</v>
      </c>
      <c r="J28" s="40">
        <v>3196</v>
      </c>
      <c r="K28" s="40">
        <v>15451</v>
      </c>
      <c r="L28" s="40">
        <v>202</v>
      </c>
      <c r="M28" s="40">
        <v>1288</v>
      </c>
      <c r="N28" s="40">
        <v>1618</v>
      </c>
      <c r="O28" s="40">
        <v>4998</v>
      </c>
      <c r="P28" s="40">
        <v>1822</v>
      </c>
      <c r="Q28" s="40">
        <v>1077</v>
      </c>
      <c r="R28" s="40">
        <v>11808</v>
      </c>
      <c r="S28" s="40">
        <v>10185</v>
      </c>
      <c r="T28" s="40">
        <v>3123</v>
      </c>
      <c r="U28" s="40">
        <v>3450</v>
      </c>
      <c r="V28" s="40">
        <v>-498</v>
      </c>
      <c r="W28" s="45">
        <v>950374</v>
      </c>
      <c r="X28" s="45">
        <v>396706</v>
      </c>
      <c r="Y28" s="44">
        <v>1696.3</v>
      </c>
      <c r="Z28" s="47">
        <v>115548</v>
      </c>
      <c r="FI28" s="61">
        <v>1425800</v>
      </c>
      <c r="FJ28" s="61">
        <v>0</v>
      </c>
      <c r="FK28" s="61">
        <v>0</v>
      </c>
      <c r="FL28" s="61">
        <v>119100</v>
      </c>
      <c r="FM28" s="61">
        <v>0</v>
      </c>
      <c r="FN28" s="61">
        <v>10290322.700000001</v>
      </c>
      <c r="FO28" s="61">
        <v>18677940</v>
      </c>
      <c r="FP28" s="61">
        <v>908346.9</v>
      </c>
      <c r="FQ28" s="61">
        <v>756180</v>
      </c>
      <c r="FR28" s="61">
        <v>124100</v>
      </c>
      <c r="FS28" s="61">
        <v>939875</v>
      </c>
      <c r="FT28" s="61">
        <v>1479595</v>
      </c>
      <c r="FU28" s="61">
        <v>3522720</v>
      </c>
      <c r="FV28" s="61">
        <v>199900</v>
      </c>
      <c r="FW28" s="61">
        <v>178750</v>
      </c>
      <c r="FX28" s="61">
        <v>22650</v>
      </c>
      <c r="FY28" s="61">
        <v>82300</v>
      </c>
      <c r="FZ28" s="61">
        <v>0</v>
      </c>
      <c r="GA28" s="61">
        <v>66860</v>
      </c>
      <c r="GB28" s="61">
        <v>143300</v>
      </c>
      <c r="GC28" s="61">
        <v>0</v>
      </c>
      <c r="GD28" s="61">
        <v>377650</v>
      </c>
      <c r="GE28" s="61">
        <v>74500</v>
      </c>
      <c r="GF28" s="61">
        <v>305000</v>
      </c>
      <c r="GG28" s="61">
        <v>231350</v>
      </c>
      <c r="GH28" s="61">
        <v>0</v>
      </c>
      <c r="GI28" s="61">
        <v>0</v>
      </c>
      <c r="GJ28" s="61">
        <v>0</v>
      </c>
      <c r="GK28" s="61">
        <v>0</v>
      </c>
      <c r="GL28" s="61">
        <v>6200115</v>
      </c>
      <c r="GM28" s="61">
        <v>57093459</v>
      </c>
      <c r="GN28" s="61">
        <v>3292100</v>
      </c>
      <c r="GO28" s="61">
        <v>11000000</v>
      </c>
      <c r="GP28" s="61">
        <v>0</v>
      </c>
      <c r="GQ28" s="61">
        <v>8327450</v>
      </c>
      <c r="GR28" s="61">
        <v>0</v>
      </c>
      <c r="GS28" s="61">
        <v>6176685</v>
      </c>
      <c r="GT28" s="61">
        <v>0</v>
      </c>
      <c r="GU28" s="61">
        <v>1051308</v>
      </c>
      <c r="GV28" s="61">
        <v>0</v>
      </c>
      <c r="GW28" s="61">
        <v>0</v>
      </c>
      <c r="GX28" s="61">
        <v>0</v>
      </c>
      <c r="GY28" s="61">
        <v>1909069</v>
      </c>
      <c r="GZ28" s="61">
        <v>0</v>
      </c>
      <c r="HA28" s="61">
        <v>0</v>
      </c>
      <c r="HB28" s="61">
        <v>5652450</v>
      </c>
      <c r="HC28" s="61">
        <v>3013840</v>
      </c>
      <c r="HD28" s="61">
        <v>29853311</v>
      </c>
      <c r="HE28" s="61">
        <v>0</v>
      </c>
      <c r="HF28" s="61">
        <v>0</v>
      </c>
      <c r="HG28" s="61">
        <v>198000</v>
      </c>
      <c r="HH28" s="61">
        <v>1694600</v>
      </c>
      <c r="HI28" s="61">
        <v>1296860</v>
      </c>
      <c r="HJ28" s="61">
        <v>0</v>
      </c>
      <c r="HK28" s="61">
        <v>0</v>
      </c>
      <c r="HL28" s="61">
        <v>485124</v>
      </c>
      <c r="HM28" s="61">
        <v>193610</v>
      </c>
      <c r="HN28" s="61">
        <v>9870</v>
      </c>
      <c r="HO28" s="61">
        <v>204765</v>
      </c>
      <c r="HP28" s="61">
        <v>253908</v>
      </c>
      <c r="HQ28" s="61">
        <v>11930</v>
      </c>
      <c r="HR28" s="61">
        <v>380200</v>
      </c>
      <c r="HS28" s="61">
        <v>329240</v>
      </c>
      <c r="HT28" s="61">
        <v>53217194</v>
      </c>
      <c r="HU28" s="61">
        <v>625970</v>
      </c>
      <c r="HV28" s="61">
        <v>0</v>
      </c>
      <c r="HW28" s="61">
        <v>13768111</v>
      </c>
      <c r="HX28" s="61">
        <v>0</v>
      </c>
      <c r="HY28" s="61">
        <v>77420</v>
      </c>
      <c r="HZ28" s="61">
        <v>25570</v>
      </c>
      <c r="IA28" s="61">
        <v>0</v>
      </c>
      <c r="IB28" s="61">
        <v>0</v>
      </c>
      <c r="IC28" s="61">
        <v>42414.600000000006</v>
      </c>
    </row>
    <row r="29" spans="1:237" s="45" customFormat="1" ht="14.5" x14ac:dyDescent="0.35">
      <c r="A29" s="38" t="s">
        <v>704</v>
      </c>
      <c r="B29" s="39">
        <v>2023</v>
      </c>
      <c r="C29" s="40">
        <v>395137518</v>
      </c>
      <c r="D29" s="50">
        <v>40146</v>
      </c>
      <c r="E29" s="15">
        <v>459</v>
      </c>
      <c r="F29" s="50">
        <v>6286</v>
      </c>
      <c r="G29" s="15">
        <v>288</v>
      </c>
      <c r="H29" s="15">
        <v>572</v>
      </c>
      <c r="I29" s="50">
        <v>11928</v>
      </c>
      <c r="J29" s="50">
        <v>3548</v>
      </c>
      <c r="K29" s="50">
        <v>18420</v>
      </c>
      <c r="L29" s="15">
        <v>262</v>
      </c>
      <c r="M29" s="50">
        <v>1362</v>
      </c>
      <c r="N29" s="50">
        <v>1901</v>
      </c>
      <c r="O29" s="50">
        <v>5419</v>
      </c>
      <c r="P29" s="50">
        <v>1998</v>
      </c>
      <c r="Q29" s="50">
        <v>1276</v>
      </c>
      <c r="R29" s="50">
        <v>12923</v>
      </c>
      <c r="S29" s="50">
        <v>10628</v>
      </c>
      <c r="T29" s="50">
        <v>3474</v>
      </c>
      <c r="U29" s="50">
        <v>3759</v>
      </c>
      <c r="V29" s="15">
        <v>-831</v>
      </c>
      <c r="W29" s="45">
        <v>968763</v>
      </c>
      <c r="X29" s="44"/>
      <c r="Y29" s="44">
        <v>1696.3</v>
      </c>
      <c r="Z29" s="47"/>
      <c r="FI29" s="55">
        <v>2497800</v>
      </c>
      <c r="FJ29" s="55">
        <v>0</v>
      </c>
      <c r="FK29" s="55">
        <v>0</v>
      </c>
      <c r="FL29" s="55">
        <v>687950</v>
      </c>
      <c r="FM29" s="55">
        <v>0</v>
      </c>
      <c r="FN29" s="55">
        <v>14116260.1</v>
      </c>
      <c r="FO29" s="55">
        <v>33547269</v>
      </c>
      <c r="FP29" s="55">
        <v>1121281.2</v>
      </c>
      <c r="FQ29" s="55">
        <v>1098769</v>
      </c>
      <c r="FR29" s="55">
        <v>0</v>
      </c>
      <c r="FS29" s="55">
        <v>906860</v>
      </c>
      <c r="FT29" s="55">
        <v>2569206</v>
      </c>
      <c r="FU29" s="55">
        <v>4046178</v>
      </c>
      <c r="FV29" s="55">
        <v>465200</v>
      </c>
      <c r="FW29" s="55">
        <v>166940</v>
      </c>
      <c r="FX29" s="55">
        <v>225800</v>
      </c>
      <c r="FY29" s="55">
        <v>644200</v>
      </c>
      <c r="FZ29" s="55">
        <v>0</v>
      </c>
      <c r="GA29" s="55">
        <v>85940</v>
      </c>
      <c r="GB29" s="55">
        <v>102000</v>
      </c>
      <c r="GC29" s="55">
        <v>7000</v>
      </c>
      <c r="GD29" s="55">
        <v>415080</v>
      </c>
      <c r="GE29" s="55">
        <v>20500</v>
      </c>
      <c r="GF29" s="55">
        <v>1453000</v>
      </c>
      <c r="GG29" s="55">
        <v>178500</v>
      </c>
      <c r="GH29" s="55">
        <v>0</v>
      </c>
      <c r="GI29" s="55">
        <v>0</v>
      </c>
      <c r="GJ29" s="55">
        <v>0</v>
      </c>
      <c r="GK29" s="55">
        <v>0</v>
      </c>
      <c r="GL29" s="55">
        <v>2860320</v>
      </c>
      <c r="GM29" s="55">
        <v>54803477</v>
      </c>
      <c r="GN29" s="55">
        <v>4129100</v>
      </c>
      <c r="GO29" s="55">
        <v>105074000</v>
      </c>
      <c r="GP29" s="55">
        <v>0</v>
      </c>
      <c r="GQ29" s="55">
        <v>12285636.859999999</v>
      </c>
      <c r="GR29" s="55">
        <v>0</v>
      </c>
      <c r="GS29" s="55">
        <v>2994209</v>
      </c>
      <c r="GT29" s="55">
        <v>308159</v>
      </c>
      <c r="GU29" s="55">
        <v>858567</v>
      </c>
      <c r="GV29" s="55">
        <v>77984</v>
      </c>
      <c r="GW29" s="55">
        <v>0</v>
      </c>
      <c r="GX29" s="55">
        <v>0</v>
      </c>
      <c r="GY29" s="55">
        <v>5091570.5</v>
      </c>
      <c r="GZ29" s="55">
        <v>238000</v>
      </c>
      <c r="HA29" s="55">
        <v>0</v>
      </c>
      <c r="HB29" s="55">
        <v>3610666</v>
      </c>
      <c r="HC29" s="55">
        <v>3267560</v>
      </c>
      <c r="HD29" s="55">
        <v>24153694</v>
      </c>
      <c r="HE29" s="55">
        <v>1484970</v>
      </c>
      <c r="HF29" s="55">
        <v>3136360</v>
      </c>
      <c r="HG29" s="55">
        <v>0</v>
      </c>
      <c r="HH29" s="55">
        <v>2589870</v>
      </c>
      <c r="HI29" s="55">
        <v>2446800</v>
      </c>
      <c r="HJ29" s="55">
        <v>0</v>
      </c>
      <c r="HK29" s="55">
        <v>0</v>
      </c>
      <c r="HL29" s="55">
        <v>375674</v>
      </c>
      <c r="HM29" s="55">
        <v>195685</v>
      </c>
      <c r="HN29" s="55">
        <v>0</v>
      </c>
      <c r="HO29" s="55">
        <v>121187</v>
      </c>
      <c r="HP29" s="55">
        <v>459181</v>
      </c>
      <c r="HQ29" s="55">
        <v>378196</v>
      </c>
      <c r="HR29" s="55">
        <v>382600</v>
      </c>
      <c r="HS29" s="55">
        <v>79000</v>
      </c>
      <c r="HT29" s="55">
        <v>65607030.200000003</v>
      </c>
      <c r="HU29" s="55">
        <v>724550</v>
      </c>
      <c r="HV29" s="55">
        <v>0</v>
      </c>
      <c r="HW29" s="55">
        <v>11793261</v>
      </c>
      <c r="HX29" s="55">
        <v>0</v>
      </c>
      <c r="HY29" s="55">
        <v>163000</v>
      </c>
      <c r="HZ29" s="55">
        <v>112730</v>
      </c>
      <c r="IA29" s="55">
        <v>3608800</v>
      </c>
      <c r="IB29" s="55">
        <v>0</v>
      </c>
      <c r="IC29" s="55">
        <v>36463.849999999977</v>
      </c>
    </row>
    <row r="30" spans="1:237" s="45" customFormat="1" ht="14.5" x14ac:dyDescent="0.35">
      <c r="A30" s="38" t="s">
        <v>705</v>
      </c>
      <c r="B30" s="39">
        <v>2017</v>
      </c>
      <c r="C30" s="40">
        <v>105483195</v>
      </c>
      <c r="D30" s="41">
        <v>42121.134400595787</v>
      </c>
      <c r="E30" s="41">
        <v>539.95086224482748</v>
      </c>
      <c r="F30" s="41">
        <v>2065.0720276513348</v>
      </c>
      <c r="G30" s="41">
        <v>109.65287792109935</v>
      </c>
      <c r="H30" s="41">
        <v>259.94386092388402</v>
      </c>
      <c r="I30" s="41">
        <v>730.99851481691394</v>
      </c>
      <c r="J30" s="41">
        <v>1823.2620642846975</v>
      </c>
      <c r="K30" s="41">
        <v>5856.2560737112444</v>
      </c>
      <c r="L30" s="41">
        <v>149.70619498463464</v>
      </c>
      <c r="M30" s="41">
        <v>1125.2175788912691</v>
      </c>
      <c r="N30" s="41">
        <v>837.99319744591924</v>
      </c>
      <c r="O30" s="41">
        <v>2486.5730561706378</v>
      </c>
      <c r="P30" s="41">
        <v>652.12158988249371</v>
      </c>
      <c r="Q30" s="41">
        <v>406.35990138365185</v>
      </c>
      <c r="R30" s="41">
        <v>5460.8430104780437</v>
      </c>
      <c r="S30" s="41">
        <v>3365.3043764578651</v>
      </c>
      <c r="T30" s="41">
        <v>2247.8516560625685</v>
      </c>
      <c r="U30" s="41">
        <v>712.16147874838191</v>
      </c>
      <c r="V30" s="42">
        <v>-106.73480518289281</v>
      </c>
      <c r="W30" s="43"/>
      <c r="X30" s="44"/>
      <c r="Y30" s="45">
        <v>3032</v>
      </c>
      <c r="Z30" s="44">
        <v>70843.667917472369</v>
      </c>
    </row>
    <row r="31" spans="1:237" s="45" customFormat="1" ht="14.5" x14ac:dyDescent="0.35">
      <c r="A31" s="38" t="s">
        <v>705</v>
      </c>
      <c r="B31" s="39">
        <v>2018</v>
      </c>
      <c r="C31" s="40">
        <v>141856503</v>
      </c>
      <c r="D31" s="41">
        <v>56909.577140647118</v>
      </c>
      <c r="E31" s="41">
        <v>505.89496603417177</v>
      </c>
      <c r="F31" s="41">
        <v>2247.5518037237052</v>
      </c>
      <c r="G31" s="41">
        <v>129.76745890145534</v>
      </c>
      <c r="H31" s="41">
        <v>269.55878991500447</v>
      </c>
      <c r="I31" s="41">
        <v>869.45381484516429</v>
      </c>
      <c r="J31" s="41">
        <v>1891.1508176753146</v>
      </c>
      <c r="K31" s="41">
        <v>8100.8495181761346</v>
      </c>
      <c r="L31" s="41">
        <v>175.63737448066445</v>
      </c>
      <c r="M31" s="41">
        <v>1197.7627180597237</v>
      </c>
      <c r="N31" s="41">
        <v>204.61992615066353</v>
      </c>
      <c r="O31" s="41">
        <v>2763.4176460810236</v>
      </c>
      <c r="P31" s="41">
        <v>692.85311454489806</v>
      </c>
      <c r="Q31" s="41">
        <v>474.90487263868567</v>
      </c>
      <c r="R31" s="41">
        <v>5673.0601490070921</v>
      </c>
      <c r="S31" s="41">
        <v>3756.9354480261841</v>
      </c>
      <c r="T31" s="41">
        <v>2308.4025898274913</v>
      </c>
      <c r="U31" s="41">
        <v>784.81960846496145</v>
      </c>
      <c r="V31" s="42">
        <v>-93.563890256497103</v>
      </c>
      <c r="W31" s="43"/>
      <c r="X31" s="44"/>
      <c r="Y31" s="45">
        <v>3032</v>
      </c>
      <c r="Z31" s="44">
        <v>88862.653866942957</v>
      </c>
    </row>
    <row r="32" spans="1:237" s="45" customFormat="1" x14ac:dyDescent="0.3">
      <c r="A32" s="38" t="s">
        <v>705</v>
      </c>
      <c r="B32" s="39">
        <v>2019</v>
      </c>
      <c r="C32" s="40">
        <v>142649267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5">
        <v>454480</v>
      </c>
      <c r="X32" s="44"/>
      <c r="Y32" s="45">
        <v>3032</v>
      </c>
      <c r="Z32" s="47">
        <v>104651</v>
      </c>
    </row>
    <row r="33" spans="1:295" s="45" customFormat="1" x14ac:dyDescent="0.3">
      <c r="A33" s="38" t="s">
        <v>705</v>
      </c>
      <c r="B33" s="39">
        <v>2020</v>
      </c>
      <c r="C33" s="40">
        <v>141267030</v>
      </c>
      <c r="D33" s="46">
        <v>80729</v>
      </c>
      <c r="E33" s="46">
        <v>564</v>
      </c>
      <c r="F33" s="46">
        <v>2579</v>
      </c>
      <c r="G33" s="46">
        <v>151</v>
      </c>
      <c r="H33" s="46">
        <v>285</v>
      </c>
      <c r="I33" s="46">
        <v>1197</v>
      </c>
      <c r="J33" s="46">
        <v>2005</v>
      </c>
      <c r="K33" s="46">
        <v>9402</v>
      </c>
      <c r="L33" s="46">
        <v>137</v>
      </c>
      <c r="M33" s="46">
        <v>1405</v>
      </c>
      <c r="N33" s="46">
        <v>304</v>
      </c>
      <c r="O33" s="46">
        <v>3119</v>
      </c>
      <c r="P33" s="46">
        <v>674</v>
      </c>
      <c r="Q33" s="46">
        <v>452</v>
      </c>
      <c r="R33" s="46">
        <v>6968</v>
      </c>
      <c r="S33" s="46">
        <v>4004</v>
      </c>
      <c r="T33" s="46">
        <v>2631</v>
      </c>
      <c r="U33" s="46">
        <v>728</v>
      </c>
      <c r="V33" s="46">
        <v>-105</v>
      </c>
      <c r="W33" s="45">
        <v>474419</v>
      </c>
      <c r="X33" s="44"/>
      <c r="Y33" s="45">
        <v>3032</v>
      </c>
      <c r="Z33" s="47">
        <v>117229</v>
      </c>
    </row>
    <row r="34" spans="1:295" s="45" customFormat="1" x14ac:dyDescent="0.3">
      <c r="A34" s="38" t="s">
        <v>705</v>
      </c>
      <c r="B34" s="39">
        <v>2021</v>
      </c>
      <c r="C34" s="40">
        <v>158660200</v>
      </c>
      <c r="D34" s="46">
        <v>88788</v>
      </c>
      <c r="E34" s="46">
        <v>673</v>
      </c>
      <c r="F34" s="46">
        <v>2712</v>
      </c>
      <c r="G34" s="46">
        <v>147</v>
      </c>
      <c r="H34" s="46">
        <v>285</v>
      </c>
      <c r="I34" s="46">
        <v>1367</v>
      </c>
      <c r="J34" s="46">
        <v>2194</v>
      </c>
      <c r="K34" s="46">
        <v>11642</v>
      </c>
      <c r="L34" s="46">
        <v>235</v>
      </c>
      <c r="M34" s="46">
        <v>1468</v>
      </c>
      <c r="N34" s="46">
        <v>373</v>
      </c>
      <c r="O34" s="46">
        <v>3344</v>
      </c>
      <c r="P34" s="46">
        <v>758</v>
      </c>
      <c r="Q34" s="46">
        <v>515</v>
      </c>
      <c r="R34" s="46">
        <v>7362</v>
      </c>
      <c r="S34" s="46">
        <v>5062</v>
      </c>
      <c r="T34" s="46">
        <v>2748</v>
      </c>
      <c r="U34" s="46">
        <v>824</v>
      </c>
      <c r="V34" s="46">
        <v>-103</v>
      </c>
      <c r="W34" s="45">
        <v>481359</v>
      </c>
      <c r="X34" s="44"/>
      <c r="Y34" s="45">
        <v>3032</v>
      </c>
      <c r="Z34" s="47">
        <v>130394</v>
      </c>
    </row>
    <row r="35" spans="1:295" s="45" customFormat="1" x14ac:dyDescent="0.3">
      <c r="A35" s="38" t="s">
        <v>705</v>
      </c>
      <c r="B35" s="39">
        <v>2022</v>
      </c>
      <c r="C35" s="40">
        <v>213564131</v>
      </c>
      <c r="D35" s="46">
        <v>73655</v>
      </c>
      <c r="E35" s="46">
        <v>873</v>
      </c>
      <c r="F35" s="46">
        <v>2698</v>
      </c>
      <c r="G35" s="46">
        <v>136</v>
      </c>
      <c r="H35" s="46">
        <v>280</v>
      </c>
      <c r="I35" s="46">
        <v>1524</v>
      </c>
      <c r="J35" s="46">
        <v>2471</v>
      </c>
      <c r="K35" s="46">
        <v>15031</v>
      </c>
      <c r="L35" s="46">
        <v>259</v>
      </c>
      <c r="M35" s="46">
        <v>1621</v>
      </c>
      <c r="N35" s="46">
        <v>431</v>
      </c>
      <c r="O35" s="46">
        <v>3593</v>
      </c>
      <c r="P35" s="46">
        <v>794</v>
      </c>
      <c r="Q35" s="46">
        <v>636</v>
      </c>
      <c r="R35" s="46">
        <v>8198</v>
      </c>
      <c r="S35" s="46">
        <v>5278</v>
      </c>
      <c r="T35" s="46">
        <v>2465</v>
      </c>
      <c r="U35" s="46">
        <v>911</v>
      </c>
      <c r="V35" s="46">
        <v>-111</v>
      </c>
      <c r="W35" s="45">
        <v>488299</v>
      </c>
      <c r="X35" s="45">
        <v>197842</v>
      </c>
      <c r="Y35" s="45">
        <v>3032</v>
      </c>
      <c r="Z35" s="47">
        <v>120745</v>
      </c>
    </row>
    <row r="36" spans="1:295" s="45" customFormat="1" ht="14.5" x14ac:dyDescent="0.35">
      <c r="A36" s="38" t="s">
        <v>705</v>
      </c>
      <c r="B36" s="39">
        <v>2023</v>
      </c>
      <c r="C36" s="40">
        <v>268468062</v>
      </c>
      <c r="D36" s="50">
        <v>88897</v>
      </c>
      <c r="E36" s="15">
        <v>756</v>
      </c>
      <c r="F36" s="50">
        <v>2853</v>
      </c>
      <c r="G36" s="15">
        <v>107</v>
      </c>
      <c r="H36" s="15">
        <v>262</v>
      </c>
      <c r="I36" s="50">
        <v>1608</v>
      </c>
      <c r="J36" s="50">
        <v>2743</v>
      </c>
      <c r="K36" s="50">
        <v>17454</v>
      </c>
      <c r="L36" s="15">
        <v>335</v>
      </c>
      <c r="M36" s="50">
        <v>1715</v>
      </c>
      <c r="N36" s="15">
        <v>506</v>
      </c>
      <c r="O36" s="50">
        <v>3912</v>
      </c>
      <c r="P36" s="15">
        <v>871</v>
      </c>
      <c r="Q36" s="15">
        <v>753</v>
      </c>
      <c r="R36" s="50">
        <v>8052</v>
      </c>
      <c r="S36" s="50">
        <v>5667</v>
      </c>
      <c r="T36" s="50">
        <v>2710</v>
      </c>
      <c r="U36" s="50">
        <v>1001</v>
      </c>
      <c r="V36" s="15">
        <v>-156</v>
      </c>
      <c r="W36" s="45">
        <v>495239</v>
      </c>
      <c r="X36" s="44"/>
      <c r="Y36" s="45">
        <v>3032</v>
      </c>
      <c r="Z36" s="47"/>
    </row>
    <row r="37" spans="1:295" s="45" customFormat="1" ht="14.5" x14ac:dyDescent="0.35">
      <c r="A37" s="38" t="s">
        <v>706</v>
      </c>
      <c r="B37" s="39">
        <v>2017</v>
      </c>
      <c r="C37" s="40">
        <v>416111597</v>
      </c>
      <c r="D37" s="41">
        <v>32257.401829502494</v>
      </c>
      <c r="E37" s="41">
        <v>252.70427559606412</v>
      </c>
      <c r="F37" s="41">
        <v>3082.7816785459781</v>
      </c>
      <c r="G37" s="41">
        <v>16349.879462873794</v>
      </c>
      <c r="H37" s="41">
        <v>1079.1962388897434</v>
      </c>
      <c r="I37" s="41">
        <v>8215.0930951056944</v>
      </c>
      <c r="J37" s="41">
        <v>8373.324124935094</v>
      </c>
      <c r="K37" s="41">
        <v>18674.79514703004</v>
      </c>
      <c r="L37" s="41">
        <v>1093.5061198877661</v>
      </c>
      <c r="M37" s="41">
        <v>1855.7825509951017</v>
      </c>
      <c r="N37" s="41">
        <v>2810.3809136633863</v>
      </c>
      <c r="O37" s="41">
        <v>5727.0250541712448</v>
      </c>
      <c r="P37" s="41">
        <v>1894.548170339528</v>
      </c>
      <c r="Q37" s="41">
        <v>963.6648296742319</v>
      </c>
      <c r="R37" s="41">
        <v>7425.3107340159604</v>
      </c>
      <c r="S37" s="41">
        <v>4776.5650443099385</v>
      </c>
      <c r="T37" s="41">
        <v>3296.7926029912264</v>
      </c>
      <c r="U37" s="41">
        <v>2297.7782842449501</v>
      </c>
      <c r="V37" s="42">
        <v>-835.44551491210439</v>
      </c>
      <c r="W37" s="43"/>
      <c r="X37" s="44"/>
      <c r="Y37" s="44">
        <v>2820.7</v>
      </c>
      <c r="Z37" s="44">
        <v>119591.08464186017</v>
      </c>
    </row>
    <row r="38" spans="1:295" s="45" customFormat="1" ht="14.5" x14ac:dyDescent="0.35">
      <c r="A38" s="38" t="s">
        <v>706</v>
      </c>
      <c r="B38" s="39">
        <v>2018</v>
      </c>
      <c r="C38" s="40">
        <v>629429825</v>
      </c>
      <c r="D38" s="41">
        <v>32954.826247170146</v>
      </c>
      <c r="E38" s="41">
        <v>236.76565750420835</v>
      </c>
      <c r="F38" s="41">
        <v>3470.8753073286471</v>
      </c>
      <c r="G38" s="41">
        <v>21953.991350793221</v>
      </c>
      <c r="H38" s="41">
        <v>1195.5858053731131</v>
      </c>
      <c r="I38" s="41">
        <v>9835.0841172232595</v>
      </c>
      <c r="J38" s="41">
        <v>8767.3740401304585</v>
      </c>
      <c r="K38" s="41">
        <v>22485.88410423712</v>
      </c>
      <c r="L38" s="41">
        <v>1282.9164744674622</v>
      </c>
      <c r="M38" s="41">
        <v>1975.428747387612</v>
      </c>
      <c r="N38" s="41">
        <v>2633.9294386421975</v>
      </c>
      <c r="O38" s="41">
        <v>6365.8273514943294</v>
      </c>
      <c r="P38" s="41">
        <v>2012.8816785710255</v>
      </c>
      <c r="Q38" s="41">
        <v>1126.2162473327971</v>
      </c>
      <c r="R38" s="41">
        <v>8345.6484471721396</v>
      </c>
      <c r="S38" s="41">
        <v>5158.4636319537203</v>
      </c>
      <c r="T38" s="41">
        <v>3192.0571910525632</v>
      </c>
      <c r="U38" s="41">
        <v>2537.123901853201</v>
      </c>
      <c r="V38" s="42">
        <v>-692.19902371825015</v>
      </c>
      <c r="W38" s="43"/>
      <c r="X38" s="44"/>
      <c r="Y38" s="44">
        <v>2820.7</v>
      </c>
      <c r="Z38" s="44">
        <v>134838.68071596895</v>
      </c>
    </row>
    <row r="39" spans="1:295" s="45" customFormat="1" x14ac:dyDescent="0.3">
      <c r="A39" s="38" t="s">
        <v>706</v>
      </c>
      <c r="B39" s="39">
        <v>2019</v>
      </c>
      <c r="C39" s="40">
        <v>509692159</v>
      </c>
      <c r="D39" s="46"/>
      <c r="E39" s="46"/>
      <c r="F39" s="46"/>
      <c r="G39" s="46"/>
      <c r="H39" s="46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5">
        <v>608599</v>
      </c>
      <c r="X39" s="44"/>
      <c r="Y39" s="44">
        <v>2820.7</v>
      </c>
      <c r="Z39" s="47">
        <v>138049</v>
      </c>
    </row>
    <row r="40" spans="1:295" s="45" customFormat="1" x14ac:dyDescent="0.3">
      <c r="A40" s="38" t="s">
        <v>706</v>
      </c>
      <c r="B40" s="39">
        <v>2020</v>
      </c>
      <c r="C40" s="40">
        <v>375326291</v>
      </c>
      <c r="D40" s="46">
        <v>42044</v>
      </c>
      <c r="E40" s="46">
        <v>264</v>
      </c>
      <c r="F40" s="46">
        <v>3566</v>
      </c>
      <c r="G40" s="46">
        <v>19151</v>
      </c>
      <c r="H40" s="46">
        <v>1127</v>
      </c>
      <c r="I40" s="40">
        <v>13521</v>
      </c>
      <c r="J40" s="40">
        <v>9508</v>
      </c>
      <c r="K40" s="40">
        <v>25967</v>
      </c>
      <c r="L40" s="40">
        <v>998</v>
      </c>
      <c r="M40" s="40">
        <v>2318</v>
      </c>
      <c r="N40" s="40">
        <v>2458</v>
      </c>
      <c r="O40" s="40">
        <v>7187</v>
      </c>
      <c r="P40" s="40">
        <v>1958</v>
      </c>
      <c r="Q40" s="40">
        <v>1071</v>
      </c>
      <c r="R40" s="40">
        <v>8291</v>
      </c>
      <c r="S40" s="40">
        <v>5319</v>
      </c>
      <c r="T40" s="40">
        <v>3408</v>
      </c>
      <c r="U40" s="40">
        <v>2425</v>
      </c>
      <c r="V40" s="40">
        <v>-669</v>
      </c>
      <c r="W40" s="45">
        <v>628527</v>
      </c>
      <c r="X40" s="44"/>
      <c r="Y40" s="44">
        <v>2820.7</v>
      </c>
      <c r="Z40" s="47">
        <v>149912</v>
      </c>
      <c r="IX40" s="55">
        <v>73488079</v>
      </c>
      <c r="IY40" s="55">
        <v>5654669</v>
      </c>
      <c r="IZ40" s="55">
        <v>0</v>
      </c>
      <c r="JA40" s="55">
        <v>15727593</v>
      </c>
      <c r="JB40" s="55">
        <v>6084550</v>
      </c>
      <c r="JC40" s="55">
        <v>9758000</v>
      </c>
      <c r="JD40" s="55">
        <v>51380572</v>
      </c>
      <c r="JE40" s="55">
        <v>9679570</v>
      </c>
      <c r="JF40" s="55">
        <v>0</v>
      </c>
      <c r="JG40" s="55">
        <v>627967</v>
      </c>
      <c r="JH40" s="55">
        <v>4419969</v>
      </c>
      <c r="JI40" s="55">
        <v>2896158</v>
      </c>
      <c r="JJ40" s="55">
        <v>6889113</v>
      </c>
      <c r="JK40" s="55">
        <v>1257500</v>
      </c>
      <c r="JL40" s="55">
        <v>250102</v>
      </c>
      <c r="JM40" s="55">
        <v>0</v>
      </c>
      <c r="JN40" s="55">
        <v>1689597</v>
      </c>
      <c r="JO40" s="55">
        <v>0</v>
      </c>
      <c r="JP40" s="55">
        <v>0</v>
      </c>
      <c r="JQ40" s="55">
        <v>0</v>
      </c>
      <c r="JR40" s="55">
        <v>0</v>
      </c>
      <c r="JS40" s="55">
        <v>185397200</v>
      </c>
      <c r="JT40" s="55">
        <v>13056788</v>
      </c>
      <c r="JU40" s="55">
        <v>8525622</v>
      </c>
      <c r="JV40" s="55">
        <v>14919865</v>
      </c>
      <c r="JW40" s="55">
        <v>5602982</v>
      </c>
      <c r="JX40" s="55">
        <v>597770</v>
      </c>
      <c r="JY40" s="55">
        <v>496030</v>
      </c>
      <c r="JZ40" s="55">
        <v>0</v>
      </c>
      <c r="KA40" s="55">
        <v>0</v>
      </c>
      <c r="KB40" s="55">
        <v>0</v>
      </c>
      <c r="KC40" s="55">
        <v>2249150</v>
      </c>
      <c r="KD40" s="55">
        <v>788200</v>
      </c>
      <c r="KE40" s="55">
        <v>1093570</v>
      </c>
      <c r="KF40" s="55">
        <v>1435100</v>
      </c>
      <c r="KG40" s="55">
        <v>626260</v>
      </c>
      <c r="KH40" s="55">
        <v>0</v>
      </c>
      <c r="KI40" s="55">
        <v>0</v>
      </c>
    </row>
    <row r="41" spans="1:295" s="45" customFormat="1" x14ac:dyDescent="0.3">
      <c r="A41" s="38" t="s">
        <v>706</v>
      </c>
      <c r="B41" s="39">
        <v>2021</v>
      </c>
      <c r="C41" s="40">
        <v>394540728</v>
      </c>
      <c r="D41" s="46">
        <v>43459</v>
      </c>
      <c r="E41" s="46">
        <v>315</v>
      </c>
      <c r="F41" s="46">
        <v>3691</v>
      </c>
      <c r="G41" s="46">
        <v>22036</v>
      </c>
      <c r="H41" s="46">
        <v>1358</v>
      </c>
      <c r="I41" s="40">
        <v>15307</v>
      </c>
      <c r="J41" s="40">
        <v>10416</v>
      </c>
      <c r="K41" s="40">
        <v>30183</v>
      </c>
      <c r="L41" s="40">
        <v>1715</v>
      </c>
      <c r="M41" s="40">
        <v>2421</v>
      </c>
      <c r="N41" s="40">
        <v>3060</v>
      </c>
      <c r="O41" s="40">
        <v>7717</v>
      </c>
      <c r="P41" s="40">
        <v>2201</v>
      </c>
      <c r="Q41" s="40">
        <v>1220</v>
      </c>
      <c r="R41" s="40">
        <v>8862</v>
      </c>
      <c r="S41" s="40">
        <v>6759</v>
      </c>
      <c r="T41" s="40">
        <v>3680</v>
      </c>
      <c r="U41" s="40">
        <v>2721</v>
      </c>
      <c r="V41" s="40">
        <v>-827</v>
      </c>
      <c r="W41" s="45">
        <v>635160</v>
      </c>
      <c r="X41" s="44"/>
      <c r="Y41" s="44">
        <v>2820.7</v>
      </c>
      <c r="Z41" s="47">
        <v>166292</v>
      </c>
      <c r="IX41" s="55">
        <v>72234325</v>
      </c>
      <c r="IY41" s="55">
        <v>5219135</v>
      </c>
      <c r="IZ41" s="55">
        <v>0</v>
      </c>
      <c r="JA41" s="55">
        <v>15472139</v>
      </c>
      <c r="JB41" s="55">
        <v>6120360</v>
      </c>
      <c r="JC41" s="55">
        <v>7104675</v>
      </c>
      <c r="JD41" s="55">
        <v>52430761</v>
      </c>
      <c r="JE41" s="55">
        <v>7582358</v>
      </c>
      <c r="JF41" s="55">
        <v>0</v>
      </c>
      <c r="JG41" s="55">
        <v>827636</v>
      </c>
      <c r="JH41" s="55">
        <v>4561708</v>
      </c>
      <c r="JI41" s="55">
        <v>2959850</v>
      </c>
      <c r="JJ41" s="55">
        <v>3037480</v>
      </c>
      <c r="JK41" s="55">
        <v>1542399</v>
      </c>
      <c r="JL41" s="55">
        <v>484660</v>
      </c>
      <c r="JM41" s="55">
        <v>381340</v>
      </c>
      <c r="JN41" s="55">
        <v>6720650</v>
      </c>
      <c r="JO41" s="55">
        <v>0</v>
      </c>
      <c r="JP41" s="55">
        <v>0</v>
      </c>
      <c r="JQ41" s="55">
        <v>0</v>
      </c>
      <c r="JR41" s="55">
        <v>0</v>
      </c>
      <c r="JS41" s="55">
        <v>151821146</v>
      </c>
      <c r="JT41" s="55">
        <v>8386789</v>
      </c>
      <c r="JU41" s="55">
        <v>6186355</v>
      </c>
      <c r="JV41" s="55">
        <v>10016149</v>
      </c>
      <c r="JW41" s="55">
        <v>249453</v>
      </c>
      <c r="JX41" s="55">
        <v>276470</v>
      </c>
      <c r="JY41" s="55">
        <v>37540</v>
      </c>
      <c r="JZ41" s="55">
        <v>0</v>
      </c>
      <c r="KA41" s="55">
        <v>0</v>
      </c>
      <c r="KB41" s="55">
        <v>0</v>
      </c>
      <c r="KC41" s="55">
        <v>1749600</v>
      </c>
      <c r="KD41" s="55">
        <v>1928900</v>
      </c>
      <c r="KE41" s="55">
        <v>2197900</v>
      </c>
      <c r="KF41" s="55">
        <v>2710100</v>
      </c>
      <c r="KG41" s="55">
        <v>1738521</v>
      </c>
      <c r="KH41" s="55">
        <v>1233676</v>
      </c>
      <c r="KI41" s="55">
        <v>500</v>
      </c>
    </row>
    <row r="42" spans="1:295" s="45" customFormat="1" x14ac:dyDescent="0.3">
      <c r="A42" s="38" t="s">
        <v>706</v>
      </c>
      <c r="B42" s="39">
        <v>2022</v>
      </c>
      <c r="C42" s="40">
        <v>678642414</v>
      </c>
      <c r="D42" s="46">
        <v>50858</v>
      </c>
      <c r="E42" s="46">
        <v>409</v>
      </c>
      <c r="F42" s="46">
        <v>4266</v>
      </c>
      <c r="G42" s="46">
        <v>19161</v>
      </c>
      <c r="H42" s="46">
        <v>1295</v>
      </c>
      <c r="I42" s="40">
        <v>17190</v>
      </c>
      <c r="J42" s="40">
        <v>11619</v>
      </c>
      <c r="K42" s="40">
        <v>39527</v>
      </c>
      <c r="L42" s="40">
        <v>1890</v>
      </c>
      <c r="M42" s="40">
        <v>2674</v>
      </c>
      <c r="N42" s="40">
        <v>3569</v>
      </c>
      <c r="O42" s="40">
        <v>8281</v>
      </c>
      <c r="P42" s="40">
        <v>2308</v>
      </c>
      <c r="Q42" s="40">
        <v>1508</v>
      </c>
      <c r="R42" s="40">
        <v>10561</v>
      </c>
      <c r="S42" s="40">
        <v>6993</v>
      </c>
      <c r="T42" s="40">
        <v>3763</v>
      </c>
      <c r="U42" s="40">
        <v>2956</v>
      </c>
      <c r="V42" s="40">
        <v>-892</v>
      </c>
      <c r="W42" s="45">
        <v>641792</v>
      </c>
      <c r="X42" s="45">
        <v>347371</v>
      </c>
      <c r="Y42" s="44">
        <v>2820.7</v>
      </c>
      <c r="Z42" s="47">
        <v>187934</v>
      </c>
      <c r="IX42" s="55">
        <v>72377415</v>
      </c>
      <c r="IY42" s="55">
        <v>11500626</v>
      </c>
      <c r="IZ42" s="55">
        <v>0</v>
      </c>
      <c r="JA42" s="55">
        <v>16211786</v>
      </c>
      <c r="JB42" s="55">
        <v>10117510</v>
      </c>
      <c r="JC42" s="55">
        <v>7767390</v>
      </c>
      <c r="JD42" s="55">
        <v>49728117</v>
      </c>
      <c r="JE42" s="55">
        <v>14979044</v>
      </c>
      <c r="JF42" s="55">
        <v>0</v>
      </c>
      <c r="JG42" s="55">
        <v>662669</v>
      </c>
      <c r="JH42" s="55">
        <v>6911181</v>
      </c>
      <c r="JI42" s="55">
        <v>4692930</v>
      </c>
      <c r="JJ42" s="55">
        <v>18179246</v>
      </c>
      <c r="JK42" s="55">
        <v>1468200</v>
      </c>
      <c r="JL42" s="55">
        <v>11654230</v>
      </c>
      <c r="JM42" s="55">
        <v>963165</v>
      </c>
      <c r="JN42" s="55">
        <v>10634925</v>
      </c>
      <c r="JO42" s="55">
        <v>0</v>
      </c>
      <c r="JP42" s="55">
        <v>71500</v>
      </c>
      <c r="JQ42" s="55">
        <v>0</v>
      </c>
      <c r="JR42" s="55">
        <v>0</v>
      </c>
      <c r="JS42" s="55">
        <v>165352201</v>
      </c>
      <c r="JT42" s="55">
        <v>7841690</v>
      </c>
      <c r="JU42" s="55">
        <v>3501817</v>
      </c>
      <c r="JV42" s="55">
        <v>5123467</v>
      </c>
      <c r="JW42" s="55">
        <v>0</v>
      </c>
      <c r="JX42" s="55">
        <v>0</v>
      </c>
      <c r="JY42" s="55">
        <v>0</v>
      </c>
      <c r="JZ42" s="55">
        <v>0</v>
      </c>
      <c r="KA42" s="55">
        <v>0</v>
      </c>
      <c r="KB42" s="55">
        <v>0</v>
      </c>
      <c r="KC42" s="55">
        <v>3110214</v>
      </c>
      <c r="KD42" s="55">
        <v>1902399</v>
      </c>
      <c r="KE42" s="55">
        <v>2022641</v>
      </c>
      <c r="KF42" s="55">
        <v>2208899</v>
      </c>
      <c r="KG42" s="55">
        <v>2051600</v>
      </c>
      <c r="KH42" s="55">
        <v>439960</v>
      </c>
      <c r="KI42" s="55">
        <v>0</v>
      </c>
    </row>
    <row r="43" spans="1:295" s="45" customFormat="1" ht="14.5" x14ac:dyDescent="0.35">
      <c r="A43" s="38" t="s">
        <v>706</v>
      </c>
      <c r="B43" s="39">
        <v>2023</v>
      </c>
      <c r="C43" s="40">
        <v>962744100</v>
      </c>
      <c r="D43" s="50">
        <v>51775</v>
      </c>
      <c r="E43" s="15">
        <v>354</v>
      </c>
      <c r="F43" s="50">
        <v>4729</v>
      </c>
      <c r="G43" s="50">
        <v>14202</v>
      </c>
      <c r="H43" s="50">
        <v>1248</v>
      </c>
      <c r="I43" s="50">
        <v>18094</v>
      </c>
      <c r="J43" s="50">
        <v>12818</v>
      </c>
      <c r="K43" s="50">
        <v>45150</v>
      </c>
      <c r="L43" s="50">
        <v>2447</v>
      </c>
      <c r="M43" s="50">
        <v>2828</v>
      </c>
      <c r="N43" s="50">
        <v>4180</v>
      </c>
      <c r="O43" s="50">
        <v>9035</v>
      </c>
      <c r="P43" s="50">
        <v>2530</v>
      </c>
      <c r="Q43" s="50">
        <v>1786</v>
      </c>
      <c r="R43" s="50">
        <v>10721</v>
      </c>
      <c r="S43" s="50">
        <v>6810</v>
      </c>
      <c r="T43" s="50">
        <v>3845</v>
      </c>
      <c r="U43" s="50">
        <v>3214</v>
      </c>
      <c r="V43" s="15">
        <v>-985</v>
      </c>
      <c r="W43" s="45">
        <v>648425</v>
      </c>
      <c r="X43" s="44"/>
      <c r="Y43" s="44">
        <v>2820.7</v>
      </c>
      <c r="Z43" s="47"/>
      <c r="IX43" s="55">
        <v>125667674</v>
      </c>
      <c r="IY43" s="55">
        <v>9590160</v>
      </c>
      <c r="IZ43" s="55">
        <v>14250330</v>
      </c>
      <c r="JA43" s="55">
        <v>21748769</v>
      </c>
      <c r="JB43" s="55">
        <v>26731530</v>
      </c>
      <c r="JC43" s="55">
        <v>19241101</v>
      </c>
      <c r="JD43" s="55">
        <v>86449495</v>
      </c>
      <c r="JE43" s="55">
        <v>37238632</v>
      </c>
      <c r="JF43" s="55">
        <v>0</v>
      </c>
      <c r="JG43" s="55">
        <v>1091004</v>
      </c>
      <c r="JH43" s="55">
        <v>11865764</v>
      </c>
      <c r="JI43" s="55">
        <v>4454831</v>
      </c>
      <c r="JJ43" s="55">
        <v>38121730</v>
      </c>
      <c r="JK43" s="55">
        <v>1318820</v>
      </c>
      <c r="JL43" s="55">
        <v>12150049</v>
      </c>
      <c r="JM43" s="55">
        <v>1933385</v>
      </c>
      <c r="JN43" s="55">
        <v>36997734</v>
      </c>
      <c r="JO43" s="55">
        <v>0</v>
      </c>
      <c r="JP43" s="55">
        <v>57100</v>
      </c>
      <c r="JQ43" s="55">
        <v>359000</v>
      </c>
      <c r="JR43" s="55">
        <v>0</v>
      </c>
      <c r="JS43" s="55">
        <v>240547761</v>
      </c>
      <c r="JT43" s="55">
        <v>9335664</v>
      </c>
      <c r="JU43" s="55">
        <v>5959724</v>
      </c>
      <c r="JV43" s="55">
        <v>11613391</v>
      </c>
      <c r="JW43" s="55">
        <v>352450</v>
      </c>
      <c r="JX43" s="55">
        <v>397520</v>
      </c>
      <c r="JY43" s="55">
        <v>49081</v>
      </c>
      <c r="JZ43" s="55">
        <v>177860</v>
      </c>
      <c r="KA43" s="55">
        <v>395890</v>
      </c>
      <c r="KB43" s="55">
        <v>3611000</v>
      </c>
      <c r="KC43" s="55">
        <v>3856760</v>
      </c>
      <c r="KD43" s="55">
        <v>1752500</v>
      </c>
      <c r="KE43" s="55">
        <v>2234900</v>
      </c>
      <c r="KF43" s="55">
        <v>2467900</v>
      </c>
      <c r="KG43" s="55">
        <v>2173027</v>
      </c>
      <c r="KH43" s="55">
        <v>0</v>
      </c>
      <c r="KI43" s="55">
        <v>0</v>
      </c>
    </row>
    <row r="44" spans="1:295" s="45" customFormat="1" ht="14.5" x14ac:dyDescent="0.35">
      <c r="A44" s="38" t="s">
        <v>707</v>
      </c>
      <c r="B44" s="39">
        <v>2017</v>
      </c>
      <c r="C44" s="40">
        <v>114557116</v>
      </c>
      <c r="D44" s="41">
        <v>2602.2802910591408</v>
      </c>
      <c r="E44" s="41">
        <v>44.723202731389762</v>
      </c>
      <c r="F44" s="41">
        <v>397.12551311764514</v>
      </c>
      <c r="G44" s="41">
        <v>184.54728987633621</v>
      </c>
      <c r="H44" s="41">
        <v>217.05894352691047</v>
      </c>
      <c r="I44" s="41">
        <v>1845.2255786589758</v>
      </c>
      <c r="J44" s="41">
        <v>2443.4841859142962</v>
      </c>
      <c r="K44" s="41">
        <v>1273.3768614997448</v>
      </c>
      <c r="L44" s="41">
        <v>347.14479996437024</v>
      </c>
      <c r="M44" s="41">
        <v>516.89370289273904</v>
      </c>
      <c r="N44" s="41">
        <v>579.07720609269586</v>
      </c>
      <c r="O44" s="41">
        <v>1335.2782049842565</v>
      </c>
      <c r="P44" s="41">
        <v>395.27797303958891</v>
      </c>
      <c r="Q44" s="41">
        <v>430.59055043976389</v>
      </c>
      <c r="R44" s="41">
        <v>4209.8995168605843</v>
      </c>
      <c r="S44" s="41">
        <v>858.02599643556186</v>
      </c>
      <c r="T44" s="41">
        <v>1245.2512848881204</v>
      </c>
      <c r="U44" s="41">
        <v>749.0254216774656</v>
      </c>
      <c r="V44" s="42">
        <v>-233.40634067727879</v>
      </c>
      <c r="W44" s="43"/>
      <c r="X44" s="44"/>
      <c r="Y44" s="44">
        <v>25350.6</v>
      </c>
      <c r="Z44" s="44">
        <v>19440.880182982306</v>
      </c>
    </row>
    <row r="45" spans="1:295" s="45" customFormat="1" ht="14.5" x14ac:dyDescent="0.35">
      <c r="A45" s="38" t="s">
        <v>707</v>
      </c>
      <c r="B45" s="39">
        <v>2018</v>
      </c>
      <c r="C45" s="40">
        <v>161767322</v>
      </c>
      <c r="D45" s="41">
        <v>3174.9640653258684</v>
      </c>
      <c r="E45" s="41">
        <v>41.902411328082913</v>
      </c>
      <c r="F45" s="41">
        <v>416.24675504704919</v>
      </c>
      <c r="G45" s="41">
        <v>239.30789158842973</v>
      </c>
      <c r="H45" s="41">
        <v>242.0706697767078</v>
      </c>
      <c r="I45" s="41">
        <v>2210.2760534319809</v>
      </c>
      <c r="J45" s="41">
        <v>2534.4667777485815</v>
      </c>
      <c r="K45" s="41">
        <v>1160.4376797318835</v>
      </c>
      <c r="L45" s="41">
        <v>407.27507125951172</v>
      </c>
      <c r="M45" s="41">
        <v>550.21892488989306</v>
      </c>
      <c r="N45" s="41">
        <v>448.36224482840885</v>
      </c>
      <c r="O45" s="41">
        <v>1483.9045991421049</v>
      </c>
      <c r="P45" s="41">
        <v>419.96704139303563</v>
      </c>
      <c r="Q45" s="41">
        <v>503.22275849495139</v>
      </c>
      <c r="R45" s="41">
        <v>6015.7574967278706</v>
      </c>
      <c r="S45" s="41">
        <v>965.97335360109662</v>
      </c>
      <c r="T45" s="41">
        <v>1253.9458357997696</v>
      </c>
      <c r="U45" s="41">
        <v>826.64100188195937</v>
      </c>
      <c r="V45" s="42">
        <v>-226.82664681404356</v>
      </c>
      <c r="W45" s="43"/>
      <c r="X45" s="44"/>
      <c r="Y45" s="44">
        <v>25350.6</v>
      </c>
      <c r="Z45" s="44">
        <v>22668.113985183143</v>
      </c>
    </row>
    <row r="46" spans="1:295" s="45" customFormat="1" x14ac:dyDescent="0.3">
      <c r="A46" s="38" t="s">
        <v>707</v>
      </c>
      <c r="B46" s="39">
        <v>2019</v>
      </c>
      <c r="C46" s="40">
        <v>116517653</v>
      </c>
      <c r="D46" s="46"/>
      <c r="E46" s="46"/>
      <c r="F46" s="46"/>
      <c r="G46" s="46"/>
      <c r="H46" s="46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5">
        <v>268002</v>
      </c>
      <c r="X46" s="44"/>
      <c r="Y46" s="44">
        <v>25350.6</v>
      </c>
      <c r="Z46" s="47">
        <v>25051</v>
      </c>
    </row>
    <row r="47" spans="1:295" s="45" customFormat="1" x14ac:dyDescent="0.3">
      <c r="A47" s="38" t="s">
        <v>707</v>
      </c>
      <c r="B47" s="39">
        <v>2020</v>
      </c>
      <c r="C47" s="40">
        <v>47379011</v>
      </c>
      <c r="D47" s="46">
        <v>4472</v>
      </c>
      <c r="E47" s="46">
        <v>47</v>
      </c>
      <c r="F47" s="46">
        <v>472</v>
      </c>
      <c r="G47" s="46">
        <v>273</v>
      </c>
      <c r="H47" s="46">
        <v>233</v>
      </c>
      <c r="I47" s="40">
        <v>3038</v>
      </c>
      <c r="J47" s="40">
        <v>2688</v>
      </c>
      <c r="K47" s="40">
        <v>1342</v>
      </c>
      <c r="L47" s="40">
        <v>317</v>
      </c>
      <c r="M47" s="40">
        <v>646</v>
      </c>
      <c r="N47" s="40">
        <v>445</v>
      </c>
      <c r="O47" s="40">
        <v>1675</v>
      </c>
      <c r="P47" s="40">
        <v>409</v>
      </c>
      <c r="Q47" s="40">
        <v>479</v>
      </c>
      <c r="R47" s="40">
        <v>7061</v>
      </c>
      <c r="S47" s="40">
        <v>960</v>
      </c>
      <c r="T47" s="40">
        <v>1435</v>
      </c>
      <c r="U47" s="40">
        <v>784</v>
      </c>
      <c r="V47" s="40">
        <v>-219</v>
      </c>
      <c r="W47" s="45">
        <v>294104</v>
      </c>
      <c r="X47" s="44"/>
      <c r="Y47" s="44">
        <v>25350.6</v>
      </c>
      <c r="Z47" s="47">
        <v>26555</v>
      </c>
    </row>
    <row r="48" spans="1:295" s="45" customFormat="1" x14ac:dyDescent="0.3">
      <c r="A48" s="38" t="s">
        <v>707</v>
      </c>
      <c r="B48" s="39">
        <v>2021</v>
      </c>
      <c r="C48" s="40">
        <v>90327794</v>
      </c>
      <c r="D48" s="46">
        <v>4543</v>
      </c>
      <c r="E48" s="46">
        <v>56</v>
      </c>
      <c r="F48" s="46">
        <v>531</v>
      </c>
      <c r="G48" s="46">
        <v>266</v>
      </c>
      <c r="H48" s="46">
        <v>275</v>
      </c>
      <c r="I48" s="40">
        <v>3437</v>
      </c>
      <c r="J48" s="40">
        <v>2941</v>
      </c>
      <c r="K48" s="40">
        <v>1840</v>
      </c>
      <c r="L48" s="40">
        <v>544</v>
      </c>
      <c r="M48" s="40">
        <v>674</v>
      </c>
      <c r="N48" s="40">
        <v>524</v>
      </c>
      <c r="O48" s="40">
        <v>1795</v>
      </c>
      <c r="P48" s="40">
        <v>459</v>
      </c>
      <c r="Q48" s="40">
        <v>545</v>
      </c>
      <c r="R48" s="40">
        <v>7892</v>
      </c>
      <c r="S48" s="40">
        <v>1201</v>
      </c>
      <c r="T48" s="40">
        <v>1442</v>
      </c>
      <c r="U48" s="40">
        <v>882</v>
      </c>
      <c r="V48" s="40">
        <v>-233</v>
      </c>
      <c r="W48" s="45">
        <v>301382</v>
      </c>
      <c r="X48" s="44"/>
      <c r="Y48" s="44">
        <v>25350.6</v>
      </c>
      <c r="Z48" s="47">
        <v>29616</v>
      </c>
    </row>
    <row r="49" spans="1:451" s="45" customFormat="1" x14ac:dyDescent="0.3">
      <c r="A49" s="38" t="s">
        <v>707</v>
      </c>
      <c r="B49" s="39">
        <v>2022</v>
      </c>
      <c r="C49" s="40">
        <v>152700000</v>
      </c>
      <c r="D49" s="46">
        <v>4070</v>
      </c>
      <c r="E49" s="46">
        <v>72</v>
      </c>
      <c r="F49" s="46">
        <v>579</v>
      </c>
      <c r="G49" s="46">
        <v>247</v>
      </c>
      <c r="H49" s="46">
        <v>271</v>
      </c>
      <c r="I49" s="40">
        <v>3862</v>
      </c>
      <c r="J49" s="40">
        <v>3312</v>
      </c>
      <c r="K49" s="40">
        <v>2320</v>
      </c>
      <c r="L49" s="40">
        <v>600</v>
      </c>
      <c r="M49" s="40">
        <v>745</v>
      </c>
      <c r="N49" s="40">
        <v>626</v>
      </c>
      <c r="O49" s="40">
        <v>1929</v>
      </c>
      <c r="P49" s="40">
        <v>482</v>
      </c>
      <c r="Q49" s="40">
        <v>674</v>
      </c>
      <c r="R49" s="40">
        <v>7676</v>
      </c>
      <c r="S49" s="40">
        <v>1264</v>
      </c>
      <c r="T49" s="40">
        <v>2050</v>
      </c>
      <c r="U49" s="40">
        <v>962</v>
      </c>
      <c r="V49" s="40">
        <v>-255</v>
      </c>
      <c r="W49" s="45">
        <v>308659</v>
      </c>
      <c r="X49" s="45">
        <v>48293</v>
      </c>
      <c r="Y49" s="44">
        <v>25350.6</v>
      </c>
      <c r="Z49" s="47">
        <v>31486</v>
      </c>
    </row>
    <row r="50" spans="1:451" s="45" customFormat="1" ht="14.5" x14ac:dyDescent="0.35">
      <c r="A50" s="38" t="s">
        <v>707</v>
      </c>
      <c r="B50" s="39">
        <v>2023</v>
      </c>
      <c r="C50" s="40">
        <v>215072206</v>
      </c>
      <c r="D50" s="50">
        <v>7270</v>
      </c>
      <c r="E50" s="15">
        <v>63</v>
      </c>
      <c r="F50" s="15">
        <v>641</v>
      </c>
      <c r="G50" s="15">
        <v>143</v>
      </c>
      <c r="H50" s="15">
        <v>268</v>
      </c>
      <c r="I50" s="50">
        <v>4065</v>
      </c>
      <c r="J50" s="50">
        <v>3677</v>
      </c>
      <c r="K50" s="50">
        <v>2775</v>
      </c>
      <c r="L50" s="15">
        <v>777</v>
      </c>
      <c r="M50" s="15">
        <v>788</v>
      </c>
      <c r="N50" s="15">
        <v>736</v>
      </c>
      <c r="O50" s="50">
        <v>2100</v>
      </c>
      <c r="P50" s="15">
        <v>528</v>
      </c>
      <c r="Q50" s="15">
        <v>798</v>
      </c>
      <c r="R50" s="50">
        <v>8518</v>
      </c>
      <c r="S50" s="50">
        <v>1493</v>
      </c>
      <c r="T50" s="50">
        <v>2282</v>
      </c>
      <c r="U50" s="50">
        <v>1049</v>
      </c>
      <c r="V50" s="15">
        <v>-330</v>
      </c>
      <c r="W50" s="45">
        <v>315937</v>
      </c>
      <c r="X50" s="44"/>
      <c r="Y50" s="44">
        <v>25350.6</v>
      </c>
      <c r="Z50" s="47"/>
    </row>
    <row r="51" spans="1:451" s="45" customFormat="1" ht="14.5" x14ac:dyDescent="0.35">
      <c r="A51" s="38" t="s">
        <v>708</v>
      </c>
      <c r="B51" s="39">
        <v>2017</v>
      </c>
      <c r="C51" s="40">
        <v>682162558</v>
      </c>
      <c r="D51" s="41">
        <v>10858.1719061567</v>
      </c>
      <c r="E51" s="41">
        <v>2839.4351289828655</v>
      </c>
      <c r="F51" s="41">
        <v>6802.2878367056401</v>
      </c>
      <c r="G51" s="41">
        <v>2087.8313149162709</v>
      </c>
      <c r="H51" s="41">
        <v>923.81147189554304</v>
      </c>
      <c r="I51" s="41">
        <v>9103.6669224722009</v>
      </c>
      <c r="J51" s="41">
        <v>7646.0725762654638</v>
      </c>
      <c r="K51" s="41">
        <v>10296.615295300851</v>
      </c>
      <c r="L51" s="41">
        <v>2859.6052897064992</v>
      </c>
      <c r="M51" s="41">
        <v>4865.1284716097616</v>
      </c>
      <c r="N51" s="41">
        <v>5114.7234435272967</v>
      </c>
      <c r="O51" s="41">
        <v>22711.492669077459</v>
      </c>
      <c r="P51" s="41">
        <v>4642.3395423944676</v>
      </c>
      <c r="Q51" s="41">
        <v>2510.4541317152289</v>
      </c>
      <c r="R51" s="41">
        <v>7359.4863618213967</v>
      </c>
      <c r="S51" s="41">
        <v>4058.4119517515833</v>
      </c>
      <c r="T51" s="41">
        <v>4003.6611753621269</v>
      </c>
      <c r="U51" s="41">
        <v>6839.3367320956386</v>
      </c>
      <c r="V51" s="42">
        <v>-2056.6587994482979</v>
      </c>
      <c r="W51" s="43"/>
      <c r="X51" s="44"/>
      <c r="Y51" s="44">
        <v>21871.1</v>
      </c>
      <c r="Z51" s="44">
        <v>113465.87342230869</v>
      </c>
      <c r="LQ51" s="55">
        <v>128212085</v>
      </c>
      <c r="LR51" s="55">
        <v>11200</v>
      </c>
      <c r="LS51" s="55">
        <v>0</v>
      </c>
      <c r="LT51" s="55">
        <v>0</v>
      </c>
      <c r="LU51" s="55">
        <v>15042850</v>
      </c>
      <c r="LV51" s="55">
        <v>0</v>
      </c>
      <c r="LW51" s="55">
        <v>417300</v>
      </c>
      <c r="LX51" s="55">
        <v>1122300</v>
      </c>
      <c r="LY51" s="55">
        <v>233349</v>
      </c>
      <c r="LZ51" s="55">
        <v>26050</v>
      </c>
      <c r="MA51" s="55">
        <v>3005220</v>
      </c>
      <c r="MB51" s="55">
        <v>13051892</v>
      </c>
      <c r="MC51" s="55">
        <v>2468785</v>
      </c>
      <c r="MD51" s="55">
        <v>20000</v>
      </c>
      <c r="ME51" s="55">
        <v>32000</v>
      </c>
      <c r="MF51" s="55">
        <v>66334250</v>
      </c>
      <c r="MG51" s="55">
        <v>0</v>
      </c>
      <c r="MH51" s="55">
        <v>66000</v>
      </c>
      <c r="MI51" s="55">
        <v>1000</v>
      </c>
      <c r="MJ51" s="55">
        <v>31680107</v>
      </c>
      <c r="MK51" s="55">
        <v>0</v>
      </c>
      <c r="ML51" s="55">
        <v>8391850</v>
      </c>
      <c r="MM51" s="55">
        <v>4931000</v>
      </c>
      <c r="MN51" s="55">
        <v>292000</v>
      </c>
      <c r="MO51" s="55">
        <v>4887600</v>
      </c>
      <c r="MP51" s="55">
        <v>1412680</v>
      </c>
      <c r="MQ51" s="55">
        <v>541900</v>
      </c>
      <c r="MR51" s="55">
        <v>11904150</v>
      </c>
      <c r="MS51" s="55">
        <v>3990450</v>
      </c>
      <c r="MT51" s="55">
        <v>21700</v>
      </c>
      <c r="MU51" s="55">
        <v>0</v>
      </c>
      <c r="MV51" s="55">
        <v>2673800</v>
      </c>
      <c r="MW51" s="55">
        <v>0</v>
      </c>
      <c r="MX51" s="55">
        <v>47000</v>
      </c>
      <c r="MY51" s="55">
        <v>26100</v>
      </c>
      <c r="MZ51" s="55">
        <v>10043360</v>
      </c>
      <c r="NA51" s="55">
        <v>0</v>
      </c>
      <c r="NB51" s="55">
        <v>30583496</v>
      </c>
      <c r="NC51" s="55">
        <v>70000</v>
      </c>
      <c r="ND51" s="55">
        <v>6531400</v>
      </c>
      <c r="NE51" s="55">
        <v>890000</v>
      </c>
      <c r="NF51" s="55">
        <v>24452360</v>
      </c>
      <c r="NG51" s="55">
        <v>0</v>
      </c>
      <c r="NH51" s="55">
        <v>414000</v>
      </c>
      <c r="NI51" s="55">
        <v>167200</v>
      </c>
      <c r="NJ51" s="55">
        <v>6109268</v>
      </c>
      <c r="NK51" s="55">
        <v>0</v>
      </c>
      <c r="NL51" s="55">
        <v>3295855</v>
      </c>
      <c r="NM51" s="55">
        <v>213600</v>
      </c>
      <c r="NN51" s="55">
        <v>311765</v>
      </c>
      <c r="NO51" s="55">
        <v>174000</v>
      </c>
      <c r="NP51" s="55">
        <v>128654</v>
      </c>
      <c r="NQ51" s="55">
        <v>0</v>
      </c>
      <c r="NR51" s="55">
        <v>7954943</v>
      </c>
      <c r="NS51" s="55">
        <v>2552672</v>
      </c>
      <c r="NT51" s="55">
        <v>1732290</v>
      </c>
      <c r="NU51" s="55">
        <v>358499</v>
      </c>
      <c r="NV51" s="55">
        <v>4446915</v>
      </c>
      <c r="NW51" s="55">
        <v>8958075</v>
      </c>
      <c r="NX51" s="55">
        <v>2658100</v>
      </c>
      <c r="NY51" s="55">
        <v>13343518</v>
      </c>
      <c r="NZ51" s="55">
        <v>168000</v>
      </c>
      <c r="OA51" s="55">
        <v>107700</v>
      </c>
      <c r="OB51" s="55">
        <v>0</v>
      </c>
      <c r="OC51" s="55">
        <v>681000</v>
      </c>
      <c r="OD51" s="55">
        <v>231200</v>
      </c>
      <c r="OE51" s="55">
        <v>287800</v>
      </c>
      <c r="OF51" s="55">
        <v>18180000</v>
      </c>
      <c r="OG51" s="55">
        <v>2945360</v>
      </c>
      <c r="OH51" s="55">
        <v>96400</v>
      </c>
      <c r="OI51" s="55">
        <v>11543493</v>
      </c>
      <c r="OJ51" s="55">
        <v>0</v>
      </c>
      <c r="OK51" s="55">
        <v>403115</v>
      </c>
      <c r="OL51" s="55">
        <v>0</v>
      </c>
      <c r="OM51" s="55">
        <v>39620</v>
      </c>
      <c r="ON51" s="55">
        <v>9109504</v>
      </c>
    </row>
    <row r="52" spans="1:451" s="45" customFormat="1" ht="14.5" x14ac:dyDescent="0.35">
      <c r="A52" s="38" t="s">
        <v>708</v>
      </c>
      <c r="B52" s="39">
        <v>2018</v>
      </c>
      <c r="C52" s="40">
        <v>1076698544</v>
      </c>
      <c r="D52" s="41">
        <v>15786.18672544569</v>
      </c>
      <c r="E52" s="41">
        <v>2763.8184644393773</v>
      </c>
      <c r="F52" s="41">
        <v>7229.1795310106172</v>
      </c>
      <c r="G52" s="41">
        <v>1810.7823435142568</v>
      </c>
      <c r="H52" s="41">
        <v>873.21918388207189</v>
      </c>
      <c r="I52" s="41">
        <v>10886.700890949029</v>
      </c>
      <c r="J52" s="41">
        <v>7932.7017598110351</v>
      </c>
      <c r="K52" s="41">
        <v>11993.7476824765</v>
      </c>
      <c r="L52" s="41">
        <v>3354.9283995002297</v>
      </c>
      <c r="M52" s="41">
        <v>5179.1492233629469</v>
      </c>
      <c r="N52" s="41">
        <v>4971.0904737229121</v>
      </c>
      <c r="O52" s="41">
        <v>25249.09291710789</v>
      </c>
      <c r="P52" s="41">
        <v>4932.3001425278981</v>
      </c>
      <c r="Q52" s="41">
        <v>2933.9186657639229</v>
      </c>
      <c r="R52" s="41">
        <v>9782.3848934667476</v>
      </c>
      <c r="S52" s="41">
        <v>4564.7607711235523</v>
      </c>
      <c r="T52" s="41">
        <v>4086.6738623632709</v>
      </c>
      <c r="U52" s="41">
        <v>7555.7171945093787</v>
      </c>
      <c r="V52" s="42">
        <v>-2020.015166710532</v>
      </c>
      <c r="W52" s="43"/>
      <c r="X52" s="44"/>
      <c r="Y52" s="44">
        <v>21871.1</v>
      </c>
      <c r="Z52" s="44">
        <v>129866.33795826678</v>
      </c>
      <c r="LQ52" s="55">
        <v>192197828</v>
      </c>
      <c r="LR52" s="55">
        <v>0</v>
      </c>
      <c r="LS52" s="55">
        <v>0</v>
      </c>
      <c r="LT52" s="55">
        <v>25084910</v>
      </c>
      <c r="LU52" s="55">
        <v>24661659</v>
      </c>
      <c r="LV52" s="55">
        <v>0</v>
      </c>
      <c r="LW52" s="55">
        <v>323200</v>
      </c>
      <c r="LX52" s="55">
        <v>0</v>
      </c>
      <c r="LY52" s="55">
        <v>1283450</v>
      </c>
      <c r="LZ52" s="55">
        <v>0</v>
      </c>
      <c r="MA52" s="55">
        <v>0</v>
      </c>
      <c r="MB52" s="55">
        <v>14654284</v>
      </c>
      <c r="MC52" s="55">
        <v>0</v>
      </c>
      <c r="MD52" s="55">
        <v>502700</v>
      </c>
      <c r="ME52" s="55">
        <v>4470350</v>
      </c>
      <c r="MF52" s="55">
        <v>106785555</v>
      </c>
      <c r="MG52" s="55">
        <v>0</v>
      </c>
      <c r="MH52" s="55">
        <v>0</v>
      </c>
      <c r="MI52" s="55">
        <v>0</v>
      </c>
      <c r="MJ52" s="55">
        <v>44617421</v>
      </c>
      <c r="MK52" s="55">
        <v>0</v>
      </c>
      <c r="ML52" s="55">
        <v>22114542</v>
      </c>
      <c r="MM52" s="55">
        <v>0</v>
      </c>
      <c r="MN52" s="55">
        <v>0</v>
      </c>
      <c r="MO52" s="55">
        <v>8268761</v>
      </c>
      <c r="MP52" s="55">
        <v>0</v>
      </c>
      <c r="MQ52" s="55">
        <v>0</v>
      </c>
      <c r="MR52" s="55">
        <v>32356663</v>
      </c>
      <c r="MS52" s="55">
        <v>0</v>
      </c>
      <c r="MT52" s="55">
        <v>0</v>
      </c>
      <c r="MU52" s="55">
        <v>100000</v>
      </c>
      <c r="MV52" s="55">
        <v>25730600</v>
      </c>
      <c r="MW52" s="55">
        <v>0</v>
      </c>
      <c r="MX52" s="55">
        <v>0</v>
      </c>
      <c r="MY52" s="55">
        <v>0</v>
      </c>
      <c r="MZ52" s="55">
        <v>16889170</v>
      </c>
      <c r="NA52" s="55">
        <v>0</v>
      </c>
      <c r="NB52" s="55">
        <v>123978619</v>
      </c>
      <c r="NC52" s="55">
        <v>0</v>
      </c>
      <c r="ND52" s="55">
        <v>0</v>
      </c>
      <c r="NE52" s="55">
        <v>0</v>
      </c>
      <c r="NF52" s="55">
        <v>41351240</v>
      </c>
      <c r="NG52" s="55">
        <v>0</v>
      </c>
      <c r="NH52" s="55">
        <v>0</v>
      </c>
      <c r="NI52" s="55">
        <v>0</v>
      </c>
      <c r="NJ52" s="55">
        <v>21527640.000000007</v>
      </c>
      <c r="NK52" s="55">
        <v>0</v>
      </c>
      <c r="NL52" s="55">
        <v>8276480</v>
      </c>
      <c r="NM52" s="55">
        <v>0</v>
      </c>
      <c r="NN52" s="55">
        <v>0</v>
      </c>
      <c r="NO52" s="55">
        <v>0</v>
      </c>
      <c r="NP52" s="55">
        <v>0</v>
      </c>
      <c r="NQ52" s="55">
        <v>0</v>
      </c>
      <c r="NR52" s="55">
        <v>14486767</v>
      </c>
      <c r="NS52" s="55">
        <v>9501343</v>
      </c>
      <c r="NT52" s="55">
        <v>2898450</v>
      </c>
      <c r="NU52" s="55">
        <v>0</v>
      </c>
      <c r="NV52" s="55">
        <v>21308637</v>
      </c>
      <c r="NW52" s="55">
        <v>661800</v>
      </c>
      <c r="NX52" s="55">
        <v>0</v>
      </c>
      <c r="NY52" s="55">
        <v>64500953</v>
      </c>
      <c r="NZ52" s="55">
        <v>0</v>
      </c>
      <c r="OA52" s="55">
        <v>26999720</v>
      </c>
      <c r="OB52" s="55">
        <v>0</v>
      </c>
      <c r="OC52" s="55">
        <v>0</v>
      </c>
      <c r="OD52" s="55">
        <v>119280</v>
      </c>
      <c r="OE52" s="55">
        <v>1185200</v>
      </c>
      <c r="OF52" s="55">
        <v>2565500</v>
      </c>
      <c r="OG52" s="55">
        <v>20982820</v>
      </c>
      <c r="OH52" s="55">
        <v>1137800</v>
      </c>
      <c r="OI52" s="55">
        <v>33106420</v>
      </c>
      <c r="OJ52" s="55">
        <v>0</v>
      </c>
      <c r="OK52" s="55">
        <v>2627010</v>
      </c>
      <c r="OL52" s="55">
        <v>7795477</v>
      </c>
      <c r="OM52" s="55">
        <v>1555640</v>
      </c>
      <c r="ON52" s="55">
        <v>5945669</v>
      </c>
    </row>
    <row r="53" spans="1:451" s="45" customFormat="1" x14ac:dyDescent="0.3">
      <c r="A53" s="38" t="s">
        <v>708</v>
      </c>
      <c r="B53" s="39">
        <v>2019</v>
      </c>
      <c r="C53" s="40">
        <v>709960792</v>
      </c>
      <c r="D53" s="46"/>
      <c r="E53" s="46"/>
      <c r="F53" s="46"/>
      <c r="G53" s="46"/>
      <c r="H53" s="46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5">
        <v>1117840</v>
      </c>
      <c r="X53" s="44"/>
      <c r="Y53" s="44">
        <v>21871.1</v>
      </c>
      <c r="Z53" s="47">
        <v>143156</v>
      </c>
      <c r="LQ53" s="55">
        <v>272454700</v>
      </c>
      <c r="LR53" s="55">
        <v>0</v>
      </c>
      <c r="LS53" s="55">
        <v>0</v>
      </c>
      <c r="LT53" s="55">
        <v>17967155</v>
      </c>
      <c r="LU53" s="55">
        <v>19538800</v>
      </c>
      <c r="LV53" s="55">
        <v>3971960</v>
      </c>
      <c r="LW53" s="55">
        <v>2100585</v>
      </c>
      <c r="LX53" s="55">
        <v>0</v>
      </c>
      <c r="LY53" s="55">
        <v>1748100</v>
      </c>
      <c r="LZ53" s="55">
        <v>0</v>
      </c>
      <c r="MA53" s="55">
        <v>0</v>
      </c>
      <c r="MB53" s="55">
        <v>45487547</v>
      </c>
      <c r="MC53" s="55">
        <v>0</v>
      </c>
      <c r="MD53" s="55">
        <v>1644900</v>
      </c>
      <c r="ME53" s="55">
        <v>1649340</v>
      </c>
      <c r="MF53" s="55">
        <v>107741385</v>
      </c>
      <c r="MG53" s="55">
        <v>0</v>
      </c>
      <c r="MH53" s="55">
        <v>335000</v>
      </c>
      <c r="MI53" s="55">
        <v>0</v>
      </c>
      <c r="MJ53" s="55">
        <v>11113230</v>
      </c>
      <c r="MK53" s="55">
        <v>0</v>
      </c>
      <c r="ML53" s="55">
        <v>26650123</v>
      </c>
      <c r="MM53" s="55">
        <v>0</v>
      </c>
      <c r="MN53" s="55">
        <v>0</v>
      </c>
      <c r="MO53" s="55">
        <v>8657361.5</v>
      </c>
      <c r="MP53" s="55">
        <v>0</v>
      </c>
      <c r="MQ53" s="55">
        <v>0</v>
      </c>
      <c r="MR53" s="55">
        <v>17350000</v>
      </c>
      <c r="MS53" s="55">
        <v>0</v>
      </c>
      <c r="MT53" s="55">
        <v>0</v>
      </c>
      <c r="MU53" s="55">
        <v>0</v>
      </c>
      <c r="MV53" s="55">
        <v>43211979</v>
      </c>
      <c r="MW53" s="55">
        <v>0</v>
      </c>
      <c r="MX53" s="55">
        <v>0</v>
      </c>
      <c r="MY53" s="55">
        <v>0</v>
      </c>
      <c r="MZ53" s="55">
        <v>17265100</v>
      </c>
      <c r="NA53" s="55">
        <v>0</v>
      </c>
      <c r="NB53" s="55">
        <v>136814367</v>
      </c>
      <c r="NC53" s="55">
        <v>0</v>
      </c>
      <c r="ND53" s="55">
        <v>0</v>
      </c>
      <c r="NE53" s="55">
        <v>0</v>
      </c>
      <c r="NF53" s="55">
        <v>25576750</v>
      </c>
      <c r="NG53" s="55">
        <v>0</v>
      </c>
      <c r="NH53" s="55">
        <v>0</v>
      </c>
      <c r="NI53" s="55">
        <v>0</v>
      </c>
      <c r="NJ53" s="55">
        <v>22468199</v>
      </c>
      <c r="NK53" s="55">
        <v>0</v>
      </c>
      <c r="NL53" s="55">
        <v>0</v>
      </c>
      <c r="NM53" s="55">
        <v>0</v>
      </c>
      <c r="NN53" s="55">
        <v>0</v>
      </c>
      <c r="NO53" s="55">
        <v>0</v>
      </c>
      <c r="NP53" s="55">
        <v>0</v>
      </c>
      <c r="NQ53" s="55">
        <v>0</v>
      </c>
      <c r="NR53" s="55">
        <v>10622185</v>
      </c>
      <c r="NS53" s="55">
        <v>14528355</v>
      </c>
      <c r="NT53" s="55">
        <v>1251550</v>
      </c>
      <c r="NU53" s="55">
        <v>0</v>
      </c>
      <c r="NV53" s="55">
        <v>21600104</v>
      </c>
      <c r="NW53" s="55">
        <v>492210</v>
      </c>
      <c r="NX53" s="55">
        <v>0</v>
      </c>
      <c r="NY53" s="55">
        <v>62129986</v>
      </c>
      <c r="NZ53" s="55">
        <v>0</v>
      </c>
      <c r="OA53" s="55">
        <v>0</v>
      </c>
      <c r="OB53" s="55">
        <v>0</v>
      </c>
      <c r="OC53" s="55">
        <v>0</v>
      </c>
      <c r="OD53" s="55">
        <v>125610</v>
      </c>
      <c r="OE53" s="55">
        <v>131300</v>
      </c>
      <c r="OF53" s="55">
        <v>26706654</v>
      </c>
      <c r="OG53" s="55">
        <v>4074100</v>
      </c>
      <c r="OH53" s="55">
        <v>0</v>
      </c>
      <c r="OI53" s="55">
        <v>7254500</v>
      </c>
      <c r="OJ53" s="55">
        <v>0</v>
      </c>
      <c r="OK53" s="55">
        <v>1229115</v>
      </c>
      <c r="OL53" s="55">
        <v>8614455</v>
      </c>
      <c r="OM53" s="55">
        <v>925100</v>
      </c>
      <c r="ON53" s="55">
        <v>32930</v>
      </c>
    </row>
    <row r="54" spans="1:451" s="45" customFormat="1" x14ac:dyDescent="0.3">
      <c r="A54" s="38" t="s">
        <v>708</v>
      </c>
      <c r="B54" s="39">
        <v>2020</v>
      </c>
      <c r="C54" s="40">
        <v>862730853</v>
      </c>
      <c r="D54" s="46">
        <v>21957</v>
      </c>
      <c r="E54" s="46">
        <v>3223</v>
      </c>
      <c r="F54" s="46">
        <v>7691</v>
      </c>
      <c r="G54" s="46">
        <v>2005</v>
      </c>
      <c r="H54" s="46">
        <v>825</v>
      </c>
      <c r="I54" s="40">
        <v>14971</v>
      </c>
      <c r="J54" s="40">
        <v>8417</v>
      </c>
      <c r="K54" s="40">
        <v>14034</v>
      </c>
      <c r="L54" s="40">
        <v>2611</v>
      </c>
      <c r="M54" s="40">
        <v>6076</v>
      </c>
      <c r="N54" s="40">
        <v>4407</v>
      </c>
      <c r="O54" s="40">
        <v>28511</v>
      </c>
      <c r="P54" s="40">
        <v>4798</v>
      </c>
      <c r="Q54" s="40">
        <v>2790</v>
      </c>
      <c r="R54" s="40">
        <v>12688</v>
      </c>
      <c r="S54" s="40">
        <v>5299</v>
      </c>
      <c r="T54" s="40">
        <v>5268</v>
      </c>
      <c r="U54" s="40">
        <v>7281</v>
      </c>
      <c r="V54" s="40">
        <v>-2143</v>
      </c>
      <c r="W54" s="45">
        <v>1178759</v>
      </c>
      <c r="X54" s="44"/>
      <c r="Y54" s="44">
        <v>21871.1</v>
      </c>
      <c r="Z54" s="47">
        <v>150709</v>
      </c>
      <c r="LQ54" s="55">
        <v>125039765</v>
      </c>
      <c r="LR54" s="55">
        <v>0</v>
      </c>
      <c r="LS54" s="55">
        <v>0</v>
      </c>
      <c r="LT54" s="55">
        <v>19035610</v>
      </c>
      <c r="LU54" s="55">
        <v>17185860</v>
      </c>
      <c r="LV54" s="55">
        <v>1555840</v>
      </c>
      <c r="LW54" s="55">
        <v>321000</v>
      </c>
      <c r="LX54" s="55">
        <v>0</v>
      </c>
      <c r="LY54" s="55">
        <v>1117400</v>
      </c>
      <c r="LZ54" s="55">
        <v>0</v>
      </c>
      <c r="MA54" s="55">
        <v>0</v>
      </c>
      <c r="MB54" s="55">
        <v>40724996</v>
      </c>
      <c r="MC54" s="55">
        <v>0</v>
      </c>
      <c r="MD54" s="55">
        <v>2100400</v>
      </c>
      <c r="ME54" s="55">
        <v>4797450</v>
      </c>
      <c r="MF54" s="55">
        <v>96629300</v>
      </c>
      <c r="MG54" s="55">
        <v>0</v>
      </c>
      <c r="MH54" s="55">
        <v>1013455</v>
      </c>
      <c r="MI54" s="55">
        <v>0</v>
      </c>
      <c r="MJ54" s="55">
        <v>8726305</v>
      </c>
      <c r="MK54" s="55">
        <v>0</v>
      </c>
      <c r="ML54" s="55">
        <v>28953164</v>
      </c>
      <c r="MM54" s="55">
        <v>0</v>
      </c>
      <c r="MN54" s="55">
        <v>0</v>
      </c>
      <c r="MO54" s="55">
        <v>6302910</v>
      </c>
      <c r="MP54" s="55">
        <v>0</v>
      </c>
      <c r="MQ54" s="55">
        <v>0</v>
      </c>
      <c r="MR54" s="55">
        <v>4617655</v>
      </c>
      <c r="MS54" s="55">
        <v>0</v>
      </c>
      <c r="MT54" s="55">
        <v>0</v>
      </c>
      <c r="MU54" s="55">
        <v>23000</v>
      </c>
      <c r="MV54" s="55">
        <v>42837054</v>
      </c>
      <c r="MW54" s="55">
        <v>0</v>
      </c>
      <c r="MX54" s="55">
        <v>0</v>
      </c>
      <c r="MY54" s="55">
        <v>0</v>
      </c>
      <c r="MZ54" s="55">
        <v>20735606</v>
      </c>
      <c r="NA54" s="55">
        <v>0</v>
      </c>
      <c r="NB54" s="55">
        <v>56862510</v>
      </c>
      <c r="NC54" s="55">
        <v>0</v>
      </c>
      <c r="ND54" s="55">
        <v>0</v>
      </c>
      <c r="NE54" s="55">
        <v>0</v>
      </c>
      <c r="NF54" s="55">
        <v>49667850</v>
      </c>
      <c r="NG54" s="55">
        <v>0</v>
      </c>
      <c r="NH54" s="55">
        <v>0</v>
      </c>
      <c r="NI54" s="55">
        <v>0</v>
      </c>
      <c r="NJ54" s="55">
        <v>18155010</v>
      </c>
      <c r="NK54" s="55">
        <v>0</v>
      </c>
      <c r="NL54" s="55">
        <v>0</v>
      </c>
      <c r="NM54" s="55">
        <v>0</v>
      </c>
      <c r="NN54" s="55">
        <v>0</v>
      </c>
      <c r="NO54" s="55">
        <v>0</v>
      </c>
      <c r="NP54" s="55">
        <v>0</v>
      </c>
      <c r="NQ54" s="55">
        <v>0</v>
      </c>
      <c r="NR54" s="55">
        <v>10294980</v>
      </c>
      <c r="NS54" s="55">
        <v>15127969</v>
      </c>
      <c r="NT54" s="55">
        <v>535500</v>
      </c>
      <c r="NU54" s="55">
        <v>0</v>
      </c>
      <c r="NV54" s="55">
        <v>13381588</v>
      </c>
      <c r="NW54" s="55">
        <v>464900</v>
      </c>
      <c r="NX54" s="55">
        <v>0</v>
      </c>
      <c r="NY54" s="55">
        <v>68647977</v>
      </c>
      <c r="NZ54" s="55">
        <v>0</v>
      </c>
      <c r="OA54" s="55">
        <v>0</v>
      </c>
      <c r="OB54" s="55">
        <v>0</v>
      </c>
      <c r="OC54" s="55">
        <v>0</v>
      </c>
      <c r="OD54" s="55">
        <v>0</v>
      </c>
      <c r="OE54" s="55">
        <v>287700</v>
      </c>
      <c r="OF54" s="55">
        <v>6450000</v>
      </c>
      <c r="OG54" s="55">
        <v>6206830</v>
      </c>
      <c r="OH54" s="55">
        <v>0</v>
      </c>
      <c r="OI54" s="55">
        <v>2963150</v>
      </c>
      <c r="OJ54" s="55">
        <v>0</v>
      </c>
      <c r="OK54" s="55">
        <v>2904350</v>
      </c>
      <c r="OL54" s="55">
        <v>7880850</v>
      </c>
      <c r="OM54" s="55">
        <v>854100</v>
      </c>
      <c r="ON54" s="55">
        <v>0</v>
      </c>
    </row>
    <row r="55" spans="1:451" s="45" customFormat="1" x14ac:dyDescent="0.3">
      <c r="A55" s="38" t="s">
        <v>708</v>
      </c>
      <c r="B55" s="39">
        <v>2021</v>
      </c>
      <c r="C55" s="40">
        <v>553757131</v>
      </c>
      <c r="D55" s="46">
        <v>12916</v>
      </c>
      <c r="E55" s="46">
        <v>3881</v>
      </c>
      <c r="F55" s="46">
        <v>9073</v>
      </c>
      <c r="G55" s="46">
        <v>2550</v>
      </c>
      <c r="H55" s="46">
        <v>815</v>
      </c>
      <c r="I55" s="40">
        <v>16972</v>
      </c>
      <c r="J55" s="40">
        <v>9209</v>
      </c>
      <c r="K55" s="40">
        <v>18967</v>
      </c>
      <c r="L55" s="40">
        <v>4484</v>
      </c>
      <c r="M55" s="40">
        <v>6347</v>
      </c>
      <c r="N55" s="40">
        <v>5250</v>
      </c>
      <c r="O55" s="40">
        <v>30655</v>
      </c>
      <c r="P55" s="40">
        <v>5393</v>
      </c>
      <c r="Q55" s="40">
        <v>3179</v>
      </c>
      <c r="R55" s="40">
        <v>11654</v>
      </c>
      <c r="S55" s="40">
        <v>6639</v>
      </c>
      <c r="T55" s="40">
        <v>5688</v>
      </c>
      <c r="U55" s="40">
        <v>8150</v>
      </c>
      <c r="V55" s="40">
        <v>-2086</v>
      </c>
      <c r="W55" s="45">
        <v>1208593</v>
      </c>
      <c r="X55" s="44"/>
      <c r="Y55" s="44">
        <v>21871.1</v>
      </c>
      <c r="Z55" s="47">
        <v>159737</v>
      </c>
      <c r="LQ55" s="55">
        <v>137003772</v>
      </c>
      <c r="LR55" s="55">
        <v>0</v>
      </c>
      <c r="LS55" s="55">
        <v>0</v>
      </c>
      <c r="LT55" s="55">
        <v>45211655</v>
      </c>
      <c r="LU55" s="55">
        <v>25176219</v>
      </c>
      <c r="LV55" s="55">
        <v>955037</v>
      </c>
      <c r="LW55" s="55">
        <v>0</v>
      </c>
      <c r="LX55" s="55">
        <v>0</v>
      </c>
      <c r="LY55" s="55">
        <v>1440621</v>
      </c>
      <c r="LZ55" s="55">
        <v>0</v>
      </c>
      <c r="MA55" s="55">
        <v>0</v>
      </c>
      <c r="MB55" s="55">
        <v>43589022</v>
      </c>
      <c r="MC55" s="55">
        <v>0</v>
      </c>
      <c r="MD55" s="55">
        <v>2453144</v>
      </c>
      <c r="ME55" s="55">
        <v>3904609</v>
      </c>
      <c r="MF55" s="55">
        <v>81958200</v>
      </c>
      <c r="MG55" s="55">
        <v>0</v>
      </c>
      <c r="MH55" s="55">
        <v>0</v>
      </c>
      <c r="MI55" s="55">
        <v>0</v>
      </c>
      <c r="MJ55" s="55">
        <v>18835580</v>
      </c>
      <c r="MK55" s="55">
        <v>0</v>
      </c>
      <c r="ML55" s="55">
        <v>30273962</v>
      </c>
      <c r="MM55" s="55">
        <v>0</v>
      </c>
      <c r="MN55" s="55">
        <v>0</v>
      </c>
      <c r="MO55" s="55">
        <v>0</v>
      </c>
      <c r="MP55" s="55">
        <v>0</v>
      </c>
      <c r="MQ55" s="55">
        <v>0</v>
      </c>
      <c r="MR55" s="55">
        <v>6346560</v>
      </c>
      <c r="MS55" s="55">
        <v>0</v>
      </c>
      <c r="MT55" s="55">
        <v>0</v>
      </c>
      <c r="MU55" s="55">
        <v>0</v>
      </c>
      <c r="MV55" s="55">
        <v>56007277</v>
      </c>
      <c r="MW55" s="55">
        <v>0</v>
      </c>
      <c r="MX55" s="55">
        <v>0</v>
      </c>
      <c r="MY55" s="55">
        <v>0</v>
      </c>
      <c r="MZ55" s="55">
        <v>33232009</v>
      </c>
      <c r="NA55" s="55">
        <v>0</v>
      </c>
      <c r="NB55" s="55">
        <v>79155765</v>
      </c>
      <c r="NC55" s="55">
        <v>0</v>
      </c>
      <c r="ND55" s="55">
        <v>0</v>
      </c>
      <c r="NE55" s="55">
        <v>0</v>
      </c>
      <c r="NF55" s="55">
        <v>33665405</v>
      </c>
      <c r="NG55" s="55">
        <v>0</v>
      </c>
      <c r="NH55" s="55">
        <v>0</v>
      </c>
      <c r="NI55" s="55">
        <v>0</v>
      </c>
      <c r="NJ55" s="55">
        <v>22438249</v>
      </c>
      <c r="NK55" s="55">
        <v>0</v>
      </c>
      <c r="NL55" s="55">
        <v>0</v>
      </c>
      <c r="NM55" s="55">
        <v>0</v>
      </c>
      <c r="NN55" s="55">
        <v>0</v>
      </c>
      <c r="NO55" s="55">
        <v>0</v>
      </c>
      <c r="NP55" s="55">
        <v>0</v>
      </c>
      <c r="NQ55" s="55">
        <v>0</v>
      </c>
      <c r="NR55" s="55">
        <v>9806645</v>
      </c>
      <c r="NS55" s="55">
        <v>14447393</v>
      </c>
      <c r="NT55" s="55">
        <v>0</v>
      </c>
      <c r="NU55" s="55">
        <v>0</v>
      </c>
      <c r="NV55" s="55">
        <v>21685751</v>
      </c>
      <c r="NW55" s="55">
        <v>1721685</v>
      </c>
      <c r="NX55" s="55">
        <v>0</v>
      </c>
      <c r="NY55" s="55">
        <v>47832112</v>
      </c>
      <c r="NZ55" s="55">
        <v>0</v>
      </c>
      <c r="OA55" s="55">
        <v>0</v>
      </c>
      <c r="OB55" s="55">
        <v>0</v>
      </c>
      <c r="OC55" s="55">
        <v>0</v>
      </c>
      <c r="OD55" s="55">
        <v>0</v>
      </c>
      <c r="OE55" s="55">
        <v>261600</v>
      </c>
      <c r="OF55" s="55">
        <v>8441921</v>
      </c>
      <c r="OG55" s="55">
        <v>0</v>
      </c>
      <c r="OH55" s="55">
        <v>0</v>
      </c>
      <c r="OI55" s="55">
        <v>0</v>
      </c>
      <c r="OJ55" s="55">
        <v>0</v>
      </c>
      <c r="OK55" s="55">
        <v>0</v>
      </c>
      <c r="OL55" s="55">
        <v>5022843</v>
      </c>
      <c r="OM55" s="55">
        <v>0</v>
      </c>
      <c r="ON55" s="55">
        <v>0</v>
      </c>
    </row>
    <row r="56" spans="1:451" s="45" customFormat="1" x14ac:dyDescent="0.3">
      <c r="A56" s="38" t="s">
        <v>708</v>
      </c>
      <c r="B56" s="39">
        <v>2022</v>
      </c>
      <c r="C56" s="40">
        <v>875281130</v>
      </c>
      <c r="D56" s="46">
        <v>16966</v>
      </c>
      <c r="E56" s="46">
        <v>5036</v>
      </c>
      <c r="F56" s="46">
        <v>10751</v>
      </c>
      <c r="G56" s="46">
        <v>5857</v>
      </c>
      <c r="H56" s="46">
        <v>818</v>
      </c>
      <c r="I56" s="40">
        <v>19038</v>
      </c>
      <c r="J56" s="40">
        <v>10370</v>
      </c>
      <c r="K56" s="40">
        <v>24045</v>
      </c>
      <c r="L56" s="40">
        <v>4942</v>
      </c>
      <c r="M56" s="40">
        <v>7010</v>
      </c>
      <c r="N56" s="40">
        <v>6142</v>
      </c>
      <c r="O56" s="40">
        <v>32857</v>
      </c>
      <c r="P56" s="40">
        <v>5656</v>
      </c>
      <c r="Q56" s="40">
        <v>3928</v>
      </c>
      <c r="R56" s="40">
        <v>14881</v>
      </c>
      <c r="S56" s="40">
        <v>6991</v>
      </c>
      <c r="T56" s="40">
        <v>5544</v>
      </c>
      <c r="U56" s="40">
        <v>8811</v>
      </c>
      <c r="V56" s="40">
        <v>-2230</v>
      </c>
      <c r="W56" s="45">
        <v>1238427</v>
      </c>
      <c r="X56" s="45">
        <v>563485</v>
      </c>
      <c r="Y56" s="44">
        <v>21871.1</v>
      </c>
      <c r="Z56" s="47">
        <v>187411</v>
      </c>
      <c r="LQ56" s="55">
        <v>254506146</v>
      </c>
      <c r="LR56" s="55">
        <v>0</v>
      </c>
      <c r="LS56" s="55">
        <v>0</v>
      </c>
      <c r="LT56" s="55">
        <v>21746623</v>
      </c>
      <c r="LU56" s="55">
        <v>20358978</v>
      </c>
      <c r="LV56" s="55">
        <v>2200440</v>
      </c>
      <c r="LW56" s="55">
        <v>0</v>
      </c>
      <c r="LX56" s="55">
        <v>0</v>
      </c>
      <c r="LY56" s="55">
        <v>1977225</v>
      </c>
      <c r="LZ56" s="55">
        <v>0</v>
      </c>
      <c r="MA56" s="55">
        <v>0</v>
      </c>
      <c r="MB56" s="55">
        <v>50614289</v>
      </c>
      <c r="MC56" s="55">
        <v>0</v>
      </c>
      <c r="MD56" s="55">
        <v>2516600</v>
      </c>
      <c r="ME56" s="55">
        <v>9017800</v>
      </c>
      <c r="MF56" s="55">
        <v>75540500</v>
      </c>
      <c r="MG56" s="55">
        <v>0</v>
      </c>
      <c r="MH56" s="55">
        <v>0</v>
      </c>
      <c r="MI56" s="55">
        <v>0</v>
      </c>
      <c r="MJ56" s="55">
        <v>12945771.08</v>
      </c>
      <c r="MK56" s="55">
        <v>0</v>
      </c>
      <c r="ML56" s="55">
        <v>30317222</v>
      </c>
      <c r="MM56" s="55">
        <v>0</v>
      </c>
      <c r="MN56" s="55">
        <v>0</v>
      </c>
      <c r="MO56" s="55">
        <v>0</v>
      </c>
      <c r="MP56" s="55">
        <v>0</v>
      </c>
      <c r="MQ56" s="55">
        <v>0</v>
      </c>
      <c r="MR56" s="55">
        <v>6126073</v>
      </c>
      <c r="MS56" s="55">
        <v>0</v>
      </c>
      <c r="MT56" s="55">
        <v>0</v>
      </c>
      <c r="MU56" s="55">
        <v>0</v>
      </c>
      <c r="MV56" s="55">
        <v>31670771</v>
      </c>
      <c r="MW56" s="55">
        <v>0</v>
      </c>
      <c r="MX56" s="55">
        <v>0</v>
      </c>
      <c r="MY56" s="55">
        <v>0</v>
      </c>
      <c r="MZ56" s="55">
        <v>31331533</v>
      </c>
      <c r="NA56" s="55">
        <v>0</v>
      </c>
      <c r="NB56" s="55">
        <v>46529857.799999997</v>
      </c>
      <c r="NC56" s="55">
        <v>0</v>
      </c>
      <c r="ND56" s="55">
        <v>0</v>
      </c>
      <c r="NE56" s="55">
        <v>0</v>
      </c>
      <c r="NF56" s="55">
        <v>80941800</v>
      </c>
      <c r="NG56" s="55">
        <v>0</v>
      </c>
      <c r="NH56" s="55">
        <v>0</v>
      </c>
      <c r="NI56" s="55">
        <v>0</v>
      </c>
      <c r="NJ56" s="55">
        <v>27255414</v>
      </c>
      <c r="NK56" s="55">
        <v>0</v>
      </c>
      <c r="NL56" s="55">
        <v>0</v>
      </c>
      <c r="NM56" s="55">
        <v>0</v>
      </c>
      <c r="NN56" s="55">
        <v>0</v>
      </c>
      <c r="NO56" s="55">
        <v>0</v>
      </c>
      <c r="NP56" s="55">
        <v>0</v>
      </c>
      <c r="NQ56" s="55">
        <v>0</v>
      </c>
      <c r="NR56" s="55">
        <v>5832555</v>
      </c>
      <c r="NS56" s="55">
        <v>13189115</v>
      </c>
      <c r="NT56" s="55">
        <v>0</v>
      </c>
      <c r="NU56" s="55">
        <v>0</v>
      </c>
      <c r="NV56" s="55">
        <v>29590591</v>
      </c>
      <c r="NW56" s="55">
        <v>872373</v>
      </c>
      <c r="NX56" s="55">
        <v>0</v>
      </c>
      <c r="NY56" s="55">
        <v>62001499.706672706</v>
      </c>
      <c r="NZ56" s="55">
        <v>0</v>
      </c>
      <c r="OA56" s="55">
        <v>0</v>
      </c>
      <c r="OB56" s="55">
        <v>0</v>
      </c>
      <c r="OC56" s="55">
        <v>0</v>
      </c>
      <c r="OD56" s="55">
        <v>0</v>
      </c>
      <c r="OE56" s="55">
        <v>3663100</v>
      </c>
      <c r="OF56" s="55">
        <v>518500</v>
      </c>
      <c r="OG56" s="55">
        <v>0</v>
      </c>
      <c r="OH56" s="55">
        <v>0</v>
      </c>
      <c r="OI56" s="55">
        <v>0</v>
      </c>
      <c r="OJ56" s="55">
        <v>0</v>
      </c>
      <c r="OK56" s="55">
        <v>0</v>
      </c>
      <c r="OL56" s="55">
        <v>10292901</v>
      </c>
      <c r="OM56" s="55">
        <v>0</v>
      </c>
      <c r="ON56" s="55">
        <v>13500</v>
      </c>
    </row>
    <row r="57" spans="1:451" s="45" customFormat="1" ht="14.5" x14ac:dyDescent="0.35">
      <c r="A57" s="38" t="s">
        <v>708</v>
      </c>
      <c r="B57" s="39">
        <v>2023</v>
      </c>
      <c r="C57" s="40">
        <v>1196805129</v>
      </c>
      <c r="D57" s="50">
        <v>32213</v>
      </c>
      <c r="E57" s="50">
        <v>4361</v>
      </c>
      <c r="F57" s="50">
        <v>12649</v>
      </c>
      <c r="G57" s="50">
        <v>8424</v>
      </c>
      <c r="H57" s="15">
        <v>695</v>
      </c>
      <c r="I57" s="50">
        <v>20047</v>
      </c>
      <c r="J57" s="50">
        <v>11510</v>
      </c>
      <c r="K57" s="50">
        <v>28519</v>
      </c>
      <c r="L57" s="50">
        <v>6400</v>
      </c>
      <c r="M57" s="50">
        <v>7414</v>
      </c>
      <c r="N57" s="50">
        <v>7166</v>
      </c>
      <c r="O57" s="50">
        <v>35923</v>
      </c>
      <c r="P57" s="50">
        <v>6200</v>
      </c>
      <c r="Q57" s="50">
        <v>4653</v>
      </c>
      <c r="R57" s="50">
        <v>15278</v>
      </c>
      <c r="S57" s="50">
        <v>7733</v>
      </c>
      <c r="T57" s="50">
        <v>6062</v>
      </c>
      <c r="U57" s="50">
        <v>9554</v>
      </c>
      <c r="V57" s="50">
        <v>-3175</v>
      </c>
      <c r="W57" s="45">
        <v>1268261</v>
      </c>
      <c r="X57" s="44"/>
      <c r="Y57" s="44">
        <v>21871.1</v>
      </c>
      <c r="Z57" s="47"/>
      <c r="LQ57" s="55">
        <v>35892780</v>
      </c>
      <c r="LR57" s="55">
        <v>0</v>
      </c>
      <c r="LS57" s="55">
        <v>0</v>
      </c>
      <c r="LT57" s="55">
        <v>25550567.600000001</v>
      </c>
      <c r="LU57" s="55">
        <v>21056160</v>
      </c>
      <c r="LV57" s="55">
        <v>642360</v>
      </c>
      <c r="LW57" s="55">
        <v>0</v>
      </c>
      <c r="LX57" s="55">
        <v>0</v>
      </c>
      <c r="LY57" s="55">
        <v>1921200</v>
      </c>
      <c r="LZ57" s="55">
        <v>0</v>
      </c>
      <c r="MA57" s="55">
        <v>0</v>
      </c>
      <c r="MB57" s="55">
        <v>16552560</v>
      </c>
      <c r="MC57" s="55">
        <v>0</v>
      </c>
      <c r="MD57" s="55">
        <v>1551200</v>
      </c>
      <c r="ME57" s="55">
        <v>630625</v>
      </c>
      <c r="MF57" s="55">
        <v>82858850</v>
      </c>
      <c r="MG57" s="55">
        <v>0</v>
      </c>
      <c r="MH57" s="55">
        <v>0</v>
      </c>
      <c r="MI57" s="55">
        <v>0</v>
      </c>
      <c r="MJ57" s="55">
        <v>26722565</v>
      </c>
      <c r="MK57" s="55">
        <v>0</v>
      </c>
      <c r="ML57" s="55">
        <v>21476370</v>
      </c>
      <c r="MM57" s="55">
        <v>0</v>
      </c>
      <c r="MN57" s="55">
        <v>0</v>
      </c>
      <c r="MO57" s="55">
        <v>0</v>
      </c>
      <c r="MP57" s="55">
        <v>0</v>
      </c>
      <c r="MQ57" s="55">
        <v>0</v>
      </c>
      <c r="MR57" s="55">
        <v>8510100</v>
      </c>
      <c r="MS57" s="55">
        <v>0</v>
      </c>
      <c r="MT57" s="55">
        <v>0</v>
      </c>
      <c r="MU57" s="55">
        <v>100000</v>
      </c>
      <c r="MV57" s="55">
        <v>36880825.899999999</v>
      </c>
      <c r="MW57" s="55">
        <v>0</v>
      </c>
      <c r="MX57" s="55">
        <v>0</v>
      </c>
      <c r="MY57" s="55">
        <v>0</v>
      </c>
      <c r="MZ57" s="55">
        <v>26543615</v>
      </c>
      <c r="NA57" s="55">
        <v>0</v>
      </c>
      <c r="NB57" s="55">
        <v>73946890.900000006</v>
      </c>
      <c r="NC57" s="55">
        <v>0</v>
      </c>
      <c r="ND57" s="55">
        <v>0</v>
      </c>
      <c r="NE57" s="55">
        <v>0</v>
      </c>
      <c r="NF57" s="55">
        <v>22278700</v>
      </c>
      <c r="NG57" s="55">
        <v>0</v>
      </c>
      <c r="NH57" s="55">
        <v>0</v>
      </c>
      <c r="NI57" s="55">
        <v>0</v>
      </c>
      <c r="NJ57" s="55">
        <v>29299340</v>
      </c>
      <c r="NK57" s="55">
        <v>0</v>
      </c>
      <c r="NL57" s="55">
        <v>0</v>
      </c>
      <c r="NM57" s="55">
        <v>0</v>
      </c>
      <c r="NN57" s="55">
        <v>0</v>
      </c>
      <c r="NO57" s="55">
        <v>0</v>
      </c>
      <c r="NP57" s="55">
        <v>0</v>
      </c>
      <c r="NQ57" s="55">
        <v>0</v>
      </c>
      <c r="NR57" s="55">
        <v>6861625</v>
      </c>
      <c r="NS57" s="55">
        <v>19285285</v>
      </c>
      <c r="NT57" s="55">
        <v>0</v>
      </c>
      <c r="NU57" s="55">
        <v>0</v>
      </c>
      <c r="NV57" s="55">
        <v>895000</v>
      </c>
      <c r="NW57" s="55">
        <v>43000</v>
      </c>
      <c r="NX57" s="55">
        <v>0</v>
      </c>
      <c r="NY57" s="55">
        <v>62911943.316660583</v>
      </c>
      <c r="NZ57" s="55">
        <v>0</v>
      </c>
      <c r="OA57" s="55">
        <v>0</v>
      </c>
      <c r="OB57" s="55">
        <v>0</v>
      </c>
      <c r="OC57" s="55">
        <v>0</v>
      </c>
      <c r="OD57" s="55">
        <v>0</v>
      </c>
      <c r="OE57" s="55">
        <v>38000</v>
      </c>
      <c r="OF57" s="55">
        <v>33804704.980000004</v>
      </c>
      <c r="OG57" s="55">
        <v>0</v>
      </c>
      <c r="OH57" s="55">
        <v>0</v>
      </c>
      <c r="OI57" s="55">
        <v>0</v>
      </c>
      <c r="OJ57" s="55">
        <v>0</v>
      </c>
      <c r="OK57" s="55">
        <v>0</v>
      </c>
      <c r="OL57" s="55">
        <v>2534820.9500000002</v>
      </c>
      <c r="OM57" s="55">
        <v>0</v>
      </c>
      <c r="ON57" s="55">
        <v>0</v>
      </c>
    </row>
    <row r="58" spans="1:451" s="45" customFormat="1" ht="14.5" x14ac:dyDescent="0.35">
      <c r="A58" s="38" t="s">
        <v>709</v>
      </c>
      <c r="B58" s="39">
        <v>2017</v>
      </c>
      <c r="C58" s="40">
        <v>440611031</v>
      </c>
      <c r="D58" s="41">
        <v>67591.764464192049</v>
      </c>
      <c r="E58" s="41">
        <v>1604.9448524906861</v>
      </c>
      <c r="F58" s="41">
        <v>12172.576710802095</v>
      </c>
      <c r="G58" s="41">
        <v>572.15924481631293</v>
      </c>
      <c r="H58" s="41">
        <v>1606.7417187385563</v>
      </c>
      <c r="I58" s="41">
        <v>2378.5430797883537</v>
      </c>
      <c r="J58" s="41">
        <v>12250.29773490783</v>
      </c>
      <c r="K58" s="41">
        <v>10078.390614838165</v>
      </c>
      <c r="L58" s="41">
        <v>1586.0178048372168</v>
      </c>
      <c r="M58" s="41">
        <v>5013.1283661118669</v>
      </c>
      <c r="N58" s="41">
        <v>3216.8090866915009</v>
      </c>
      <c r="O58" s="41">
        <v>11920.394406682875</v>
      </c>
      <c r="P58" s="41">
        <v>3699.4187388661094</v>
      </c>
      <c r="Q58" s="41">
        <v>1903.0990102923513</v>
      </c>
      <c r="R58" s="41">
        <v>12458.285977831976</v>
      </c>
      <c r="S58" s="41">
        <v>17770.508199065669</v>
      </c>
      <c r="T58" s="41">
        <v>2612.1475888029481</v>
      </c>
      <c r="U58" s="41">
        <v>4841.0112479892332</v>
      </c>
      <c r="V58" s="42">
        <v>-1200.0720065977866</v>
      </c>
      <c r="W58" s="43"/>
      <c r="X58" s="44"/>
      <c r="Y58" s="44">
        <v>3020</v>
      </c>
      <c r="Z58" s="44">
        <v>172076.16684114799</v>
      </c>
    </row>
    <row r="59" spans="1:451" s="45" customFormat="1" ht="14.5" x14ac:dyDescent="0.35">
      <c r="A59" s="38" t="s">
        <v>709</v>
      </c>
      <c r="B59" s="39">
        <v>2018</v>
      </c>
      <c r="C59" s="40">
        <v>858335582</v>
      </c>
      <c r="D59" s="41">
        <v>70770.372290070387</v>
      </c>
      <c r="E59" s="41">
        <v>1503.7174276598209</v>
      </c>
      <c r="F59" s="41">
        <v>14044.203824293305</v>
      </c>
      <c r="G59" s="41">
        <v>608.42526623114441</v>
      </c>
      <c r="H59" s="41">
        <v>1623.5215205289956</v>
      </c>
      <c r="I59" s="41">
        <v>2822.1098937115094</v>
      </c>
      <c r="J59" s="41">
        <v>12824.117193038946</v>
      </c>
      <c r="K59" s="41">
        <v>14493.623518387056</v>
      </c>
      <c r="L59" s="41">
        <v>1860.7379818168947</v>
      </c>
      <c r="M59" s="41">
        <v>5336.3352745457569</v>
      </c>
      <c r="N59" s="41">
        <v>2540.4492068760442</v>
      </c>
      <c r="O59" s="41">
        <v>13248.453617145567</v>
      </c>
      <c r="P59" s="41">
        <v>3930.4844909229259</v>
      </c>
      <c r="Q59" s="41">
        <v>2224.1146088093287</v>
      </c>
      <c r="R59" s="41">
        <v>13190.566118298448</v>
      </c>
      <c r="S59" s="41">
        <v>19873.485573502214</v>
      </c>
      <c r="T59" s="41">
        <v>2023.8895800913085</v>
      </c>
      <c r="U59" s="41">
        <v>5341.9066499963319</v>
      </c>
      <c r="V59" s="42">
        <v>-1292.0508096202802</v>
      </c>
      <c r="W59" s="43"/>
      <c r="X59" s="44"/>
      <c r="Y59" s="44">
        <v>3020</v>
      </c>
      <c r="Z59" s="44">
        <v>186968.4632263057</v>
      </c>
    </row>
    <row r="60" spans="1:451" s="45" customFormat="1" x14ac:dyDescent="0.3">
      <c r="A60" s="38" t="s">
        <v>709</v>
      </c>
      <c r="B60" s="39">
        <v>2019</v>
      </c>
      <c r="C60" s="40">
        <v>1180228345</v>
      </c>
      <c r="D60" s="46"/>
      <c r="E60" s="46"/>
      <c r="F60" s="46"/>
      <c r="G60" s="46"/>
      <c r="H60" s="46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5">
        <v>1867579</v>
      </c>
      <c r="X60" s="44"/>
      <c r="Y60" s="44">
        <v>3020</v>
      </c>
      <c r="Z60" s="47">
        <v>203238</v>
      </c>
    </row>
    <row r="61" spans="1:451" s="45" customFormat="1" x14ac:dyDescent="0.3">
      <c r="A61" s="38" t="s">
        <v>709</v>
      </c>
      <c r="B61" s="39">
        <v>2020</v>
      </c>
      <c r="C61" s="40">
        <v>1118235983</v>
      </c>
      <c r="D61" s="46">
        <v>87042</v>
      </c>
      <c r="E61" s="46">
        <v>1676</v>
      </c>
      <c r="F61" s="46">
        <v>13737</v>
      </c>
      <c r="G61" s="46">
        <v>683</v>
      </c>
      <c r="H61" s="46">
        <v>1583</v>
      </c>
      <c r="I61" s="40">
        <v>3889</v>
      </c>
      <c r="J61" s="40">
        <v>13900</v>
      </c>
      <c r="K61" s="40">
        <v>16910</v>
      </c>
      <c r="L61" s="40">
        <v>1448</v>
      </c>
      <c r="M61" s="40">
        <v>6261</v>
      </c>
      <c r="N61" s="40">
        <v>2886</v>
      </c>
      <c r="O61" s="40">
        <v>14955</v>
      </c>
      <c r="P61" s="40">
        <v>3824</v>
      </c>
      <c r="Q61" s="40">
        <v>2115</v>
      </c>
      <c r="R61" s="40">
        <v>16811</v>
      </c>
      <c r="S61" s="40">
        <v>20327</v>
      </c>
      <c r="T61" s="40">
        <v>2572</v>
      </c>
      <c r="U61" s="40">
        <v>5056</v>
      </c>
      <c r="V61" s="40">
        <v>-1311</v>
      </c>
      <c r="W61" s="45">
        <v>1897240</v>
      </c>
      <c r="X61" s="44"/>
      <c r="Y61" s="44">
        <v>3020</v>
      </c>
      <c r="Z61" s="47">
        <v>214365</v>
      </c>
    </row>
    <row r="62" spans="1:451" s="45" customFormat="1" ht="14.5" x14ac:dyDescent="0.35">
      <c r="A62" s="38" t="s">
        <v>709</v>
      </c>
      <c r="B62" s="39">
        <v>2021</v>
      </c>
      <c r="C62" s="40">
        <v>1221667450</v>
      </c>
      <c r="D62" s="46">
        <v>94481</v>
      </c>
      <c r="E62" s="46">
        <v>2002</v>
      </c>
      <c r="F62" s="46">
        <v>16902</v>
      </c>
      <c r="G62" s="46">
        <v>666</v>
      </c>
      <c r="H62" s="46">
        <v>1641</v>
      </c>
      <c r="I62" s="40">
        <v>4453</v>
      </c>
      <c r="J62" s="40">
        <v>15228</v>
      </c>
      <c r="K62" s="40">
        <v>22784</v>
      </c>
      <c r="L62" s="40">
        <v>2487</v>
      </c>
      <c r="M62" s="40">
        <v>6540</v>
      </c>
      <c r="N62" s="40">
        <v>3463</v>
      </c>
      <c r="O62" s="40">
        <v>16043</v>
      </c>
      <c r="P62" s="40">
        <v>4297</v>
      </c>
      <c r="Q62" s="40">
        <v>2410</v>
      </c>
      <c r="R62" s="40">
        <v>19539</v>
      </c>
      <c r="S62" s="40">
        <v>25647</v>
      </c>
      <c r="T62" s="40">
        <v>2815</v>
      </c>
      <c r="U62" s="40">
        <v>5689</v>
      </c>
      <c r="V62" s="40">
        <v>-1319</v>
      </c>
      <c r="W62" s="45">
        <v>1932305</v>
      </c>
      <c r="X62" s="44"/>
      <c r="Y62" s="44">
        <v>3020</v>
      </c>
      <c r="Z62" s="47">
        <v>245768</v>
      </c>
      <c r="OO62" s="48">
        <v>16729685</v>
      </c>
      <c r="OP62" s="48">
        <v>134091566</v>
      </c>
      <c r="OQ62" s="48">
        <v>23744462.27</v>
      </c>
      <c r="OR62" s="48">
        <v>52104667</v>
      </c>
      <c r="OS62" s="48">
        <v>1598780</v>
      </c>
      <c r="OT62" s="48">
        <v>3678286</v>
      </c>
      <c r="OU62" s="48">
        <v>27078710</v>
      </c>
      <c r="OV62" s="48">
        <v>14565630</v>
      </c>
      <c r="OW62" s="48">
        <v>2982674</v>
      </c>
      <c r="OX62" s="48">
        <v>5635458</v>
      </c>
      <c r="OY62" s="48">
        <v>984428</v>
      </c>
      <c r="OZ62" s="48">
        <v>3045305</v>
      </c>
      <c r="PA62" s="48">
        <v>0</v>
      </c>
      <c r="PB62" s="48">
        <v>0</v>
      </c>
      <c r="PC62" s="48">
        <v>1464241</v>
      </c>
      <c r="PD62" s="48">
        <v>24044751</v>
      </c>
      <c r="PE62" s="48">
        <v>145500</v>
      </c>
      <c r="PF62" s="48">
        <v>3424730</v>
      </c>
      <c r="PG62" s="48">
        <v>280950</v>
      </c>
      <c r="PH62" s="48">
        <v>0</v>
      </c>
      <c r="PI62" s="48">
        <v>10214250</v>
      </c>
      <c r="PJ62" s="48">
        <v>668985</v>
      </c>
      <c r="PK62" s="48">
        <v>8011745</v>
      </c>
      <c r="PL62" s="48">
        <v>929660</v>
      </c>
      <c r="PM62" s="48">
        <v>4000</v>
      </c>
      <c r="PN62" s="48">
        <v>36065348</v>
      </c>
      <c r="PO62" s="48">
        <v>3793333</v>
      </c>
      <c r="PP62" s="48">
        <v>22765824</v>
      </c>
      <c r="PQ62" s="48">
        <v>2250391</v>
      </c>
      <c r="PR62" s="48">
        <v>8738590</v>
      </c>
      <c r="PS62" s="48">
        <v>2300000</v>
      </c>
      <c r="PT62" s="48">
        <v>0</v>
      </c>
      <c r="PU62" s="48">
        <v>387334312</v>
      </c>
      <c r="PV62" s="48">
        <v>163206141</v>
      </c>
      <c r="PW62" s="48">
        <v>166000</v>
      </c>
      <c r="PX62" s="48">
        <v>124226850</v>
      </c>
      <c r="PY62" s="48">
        <v>554600</v>
      </c>
      <c r="PZ62" s="48">
        <v>0</v>
      </c>
      <c r="QA62" s="48">
        <v>21173492</v>
      </c>
      <c r="QB62" s="48">
        <v>14233984</v>
      </c>
      <c r="QC62" s="48">
        <v>0</v>
      </c>
      <c r="QD62" s="48">
        <v>0</v>
      </c>
      <c r="QE62" s="48">
        <v>0</v>
      </c>
      <c r="QF62" s="48">
        <v>0</v>
      </c>
      <c r="QG62" s="48">
        <v>0</v>
      </c>
      <c r="QH62" s="48">
        <v>1782770</v>
      </c>
    </row>
    <row r="63" spans="1:451" s="45" customFormat="1" ht="14.5" x14ac:dyDescent="0.35">
      <c r="A63" s="38" t="s">
        <v>709</v>
      </c>
      <c r="B63" s="39">
        <v>2022</v>
      </c>
      <c r="C63" s="40">
        <v>1309679898</v>
      </c>
      <c r="D63" s="46">
        <v>104332</v>
      </c>
      <c r="E63" s="46">
        <v>2595</v>
      </c>
      <c r="F63" s="46">
        <v>20384</v>
      </c>
      <c r="G63" s="46">
        <v>618</v>
      </c>
      <c r="H63" s="46">
        <v>1655</v>
      </c>
      <c r="I63" s="40">
        <v>4952</v>
      </c>
      <c r="J63" s="40">
        <v>16990</v>
      </c>
      <c r="K63" s="40">
        <v>28878</v>
      </c>
      <c r="L63" s="40">
        <v>2741</v>
      </c>
      <c r="M63" s="40">
        <v>7224</v>
      </c>
      <c r="N63" s="40">
        <v>4025</v>
      </c>
      <c r="O63" s="40">
        <v>17228</v>
      </c>
      <c r="P63" s="40">
        <v>4507</v>
      </c>
      <c r="Q63" s="40">
        <v>2977</v>
      </c>
      <c r="R63" s="40">
        <v>22576</v>
      </c>
      <c r="S63" s="40">
        <v>26731</v>
      </c>
      <c r="T63" s="40">
        <v>3251</v>
      </c>
      <c r="U63" s="40">
        <v>6216</v>
      </c>
      <c r="V63" s="40">
        <v>-1397</v>
      </c>
      <c r="W63" s="45">
        <v>1967370</v>
      </c>
      <c r="X63" s="45">
        <v>727720</v>
      </c>
      <c r="Y63" s="44">
        <v>3020</v>
      </c>
      <c r="Z63" s="47">
        <v>276484</v>
      </c>
      <c r="OO63" s="48">
        <v>12950557</v>
      </c>
      <c r="OP63" s="48">
        <v>135869045</v>
      </c>
      <c r="OQ63" s="48">
        <v>27090211</v>
      </c>
      <c r="OR63" s="48">
        <v>47977557.850000001</v>
      </c>
      <c r="OS63" s="48">
        <v>8998901</v>
      </c>
      <c r="OT63" s="48">
        <v>5518487</v>
      </c>
      <c r="OU63" s="48">
        <v>38652994</v>
      </c>
      <c r="OV63" s="48">
        <v>12288050</v>
      </c>
      <c r="OW63" s="48">
        <v>1449300</v>
      </c>
      <c r="OX63" s="48">
        <v>2877375</v>
      </c>
      <c r="OY63" s="48">
        <v>582825</v>
      </c>
      <c r="OZ63" s="48">
        <v>3792117</v>
      </c>
      <c r="PA63" s="48">
        <v>167670</v>
      </c>
      <c r="PB63" s="48">
        <v>28750</v>
      </c>
      <c r="PC63" s="48">
        <v>1774838</v>
      </c>
      <c r="PD63" s="48">
        <v>24626204</v>
      </c>
      <c r="PE63" s="48">
        <v>539838</v>
      </c>
      <c r="PF63" s="48">
        <v>1700220</v>
      </c>
      <c r="PG63" s="48">
        <v>214410</v>
      </c>
      <c r="PH63" s="48">
        <v>2800</v>
      </c>
      <c r="PI63" s="48">
        <v>1498200</v>
      </c>
      <c r="PJ63" s="48">
        <v>736830</v>
      </c>
      <c r="PK63" s="48">
        <v>7333455</v>
      </c>
      <c r="PL63" s="48">
        <v>2701410</v>
      </c>
      <c r="PM63" s="48">
        <v>525650</v>
      </c>
      <c r="PN63" s="48">
        <v>52053816</v>
      </c>
      <c r="PO63" s="48">
        <v>1897464</v>
      </c>
      <c r="PP63" s="48">
        <v>17541140</v>
      </c>
      <c r="PQ63" s="48">
        <v>4964115</v>
      </c>
      <c r="PR63" s="48">
        <v>5707475</v>
      </c>
      <c r="PS63" s="48">
        <v>18000</v>
      </c>
      <c r="PT63" s="48">
        <v>0</v>
      </c>
      <c r="PU63" s="48">
        <v>269107051</v>
      </c>
      <c r="PV63" s="48">
        <v>211714372.5</v>
      </c>
      <c r="PW63" s="48">
        <v>322100</v>
      </c>
      <c r="PX63" s="48">
        <v>197239066.5</v>
      </c>
      <c r="PY63" s="48">
        <v>665730</v>
      </c>
      <c r="PZ63" s="48">
        <v>0</v>
      </c>
      <c r="QA63" s="48">
        <v>17349119</v>
      </c>
      <c r="QB63" s="48">
        <v>3176416</v>
      </c>
      <c r="QC63" s="48">
        <v>211040</v>
      </c>
      <c r="QD63" s="48">
        <v>23361567</v>
      </c>
      <c r="QE63" s="48">
        <v>4760459.6500000004</v>
      </c>
      <c r="QF63" s="48">
        <v>1297451</v>
      </c>
      <c r="QG63" s="48">
        <v>0</v>
      </c>
      <c r="QH63" s="48">
        <v>763005</v>
      </c>
    </row>
    <row r="64" spans="1:451" s="45" customFormat="1" ht="14.5" x14ac:dyDescent="0.35">
      <c r="A64" s="38" t="s">
        <v>709</v>
      </c>
      <c r="B64" s="39">
        <v>2023</v>
      </c>
      <c r="C64" s="40">
        <v>1397692346</v>
      </c>
      <c r="D64" s="50">
        <v>102063</v>
      </c>
      <c r="E64" s="50">
        <v>2247</v>
      </c>
      <c r="F64" s="50">
        <v>22877</v>
      </c>
      <c r="G64" s="15">
        <v>592</v>
      </c>
      <c r="H64" s="50">
        <v>1635</v>
      </c>
      <c r="I64" s="50">
        <v>5230</v>
      </c>
      <c r="J64" s="50">
        <v>18745</v>
      </c>
      <c r="K64" s="50">
        <v>34565</v>
      </c>
      <c r="L64" s="50">
        <v>3550</v>
      </c>
      <c r="M64" s="50">
        <v>7641</v>
      </c>
      <c r="N64" s="50">
        <v>4753</v>
      </c>
      <c r="O64" s="50">
        <v>18773</v>
      </c>
      <c r="P64" s="50">
        <v>4941</v>
      </c>
      <c r="Q64" s="50">
        <v>3527</v>
      </c>
      <c r="R64" s="50">
        <v>23146</v>
      </c>
      <c r="S64" s="50">
        <v>28751</v>
      </c>
      <c r="T64" s="50">
        <v>3981</v>
      </c>
      <c r="U64" s="50">
        <v>6784</v>
      </c>
      <c r="V64" s="50">
        <v>-1982</v>
      </c>
      <c r="W64" s="45">
        <v>2002435</v>
      </c>
      <c r="X64" s="44"/>
      <c r="Y64" s="44">
        <v>3020</v>
      </c>
      <c r="Z64" s="47"/>
      <c r="OO64" s="48">
        <v>17927410</v>
      </c>
      <c r="OP64" s="48">
        <v>164775755</v>
      </c>
      <c r="OQ64" s="48">
        <v>26372960</v>
      </c>
      <c r="OR64" s="48">
        <v>13363572</v>
      </c>
      <c r="OS64" s="48">
        <v>189500</v>
      </c>
      <c r="OT64" s="48">
        <v>4997708</v>
      </c>
      <c r="OU64" s="48">
        <v>36788166</v>
      </c>
      <c r="OV64" s="48">
        <v>12291433</v>
      </c>
      <c r="OW64" s="48">
        <v>2799300</v>
      </c>
      <c r="OX64" s="48">
        <v>1738020</v>
      </c>
      <c r="OY64" s="48">
        <v>556960</v>
      </c>
      <c r="OZ64" s="48">
        <v>5075975</v>
      </c>
      <c r="PA64" s="48">
        <v>151260</v>
      </c>
      <c r="PB64" s="48">
        <v>3000</v>
      </c>
      <c r="PC64" s="48">
        <v>1165765</v>
      </c>
      <c r="PD64" s="48">
        <v>25273413</v>
      </c>
      <c r="PE64" s="48">
        <v>573860</v>
      </c>
      <c r="PF64" s="48">
        <v>650670</v>
      </c>
      <c r="PG64" s="48">
        <v>121946</v>
      </c>
      <c r="PH64" s="48">
        <v>0</v>
      </c>
      <c r="PI64" s="48">
        <v>2375455</v>
      </c>
      <c r="PJ64" s="48">
        <v>596450</v>
      </c>
      <c r="PK64" s="48">
        <v>3132095</v>
      </c>
      <c r="PL64" s="48">
        <v>1631040</v>
      </c>
      <c r="PM64" s="48">
        <v>459800</v>
      </c>
      <c r="PN64" s="48">
        <v>46437216</v>
      </c>
      <c r="PO64" s="48">
        <v>1403268</v>
      </c>
      <c r="PP64" s="48">
        <v>21925284</v>
      </c>
      <c r="PQ64" s="48">
        <v>2453260</v>
      </c>
      <c r="PR64" s="48">
        <v>3094196</v>
      </c>
      <c r="PS64" s="48">
        <v>12700</v>
      </c>
      <c r="PT64" s="48">
        <v>57105</v>
      </c>
      <c r="PU64" s="48">
        <v>443900518</v>
      </c>
      <c r="PV64" s="48">
        <v>104794261.5</v>
      </c>
      <c r="PW64" s="48">
        <v>78097162.5</v>
      </c>
      <c r="PX64" s="48">
        <v>150720442</v>
      </c>
      <c r="PY64" s="48">
        <v>180500</v>
      </c>
      <c r="PZ64" s="48">
        <v>5187910</v>
      </c>
      <c r="QA64" s="48">
        <v>13996693</v>
      </c>
      <c r="QB64" s="48">
        <v>2323893</v>
      </c>
      <c r="QC64" s="48">
        <v>2184170</v>
      </c>
      <c r="QD64" s="48">
        <v>32829987</v>
      </c>
      <c r="QE64" s="48">
        <v>14362986.449999997</v>
      </c>
      <c r="QF64" s="48">
        <v>2285107.5499999998</v>
      </c>
      <c r="QG64" s="48">
        <v>0</v>
      </c>
      <c r="QH64" s="48">
        <v>0</v>
      </c>
      <c r="QI64" s="48">
        <v>0</v>
      </c>
    </row>
    <row r="65" spans="1:489" s="45" customFormat="1" ht="14.5" x14ac:dyDescent="0.35">
      <c r="A65" s="38" t="s">
        <v>710</v>
      </c>
      <c r="B65" s="39">
        <v>2017</v>
      </c>
      <c r="C65" s="40">
        <v>414048710</v>
      </c>
      <c r="D65" s="41">
        <v>63939.816647832289</v>
      </c>
      <c r="E65" s="41">
        <v>162.89426685904564</v>
      </c>
      <c r="F65" s="41">
        <v>11434.586395685928</v>
      </c>
      <c r="G65" s="41">
        <v>1924.8250040491566</v>
      </c>
      <c r="H65" s="41">
        <v>816.73232721072031</v>
      </c>
      <c r="I65" s="41">
        <v>3262.8098498158206</v>
      </c>
      <c r="J65" s="41">
        <v>9499.8985508954065</v>
      </c>
      <c r="K65" s="41">
        <v>8029.2599481599573</v>
      </c>
      <c r="L65" s="41">
        <v>1386.4095448577036</v>
      </c>
      <c r="M65" s="41">
        <v>2205.1485140312752</v>
      </c>
      <c r="N65" s="41">
        <v>3054.3181037872291</v>
      </c>
      <c r="O65" s="41">
        <v>6151.8727213816401</v>
      </c>
      <c r="P65" s="41">
        <v>2230.6215130560067</v>
      </c>
      <c r="Q65" s="41">
        <v>1095.1458925852667</v>
      </c>
      <c r="R65" s="41">
        <v>7814.9476454840396</v>
      </c>
      <c r="S65" s="41">
        <v>7796.178034552765</v>
      </c>
      <c r="T65" s="41">
        <v>2811.8205411106537</v>
      </c>
      <c r="U65" s="41">
        <v>2672.7167959562767</v>
      </c>
      <c r="V65" s="42">
        <v>-1255.3448577006429</v>
      </c>
      <c r="W65" s="43"/>
      <c r="X65" s="44"/>
      <c r="Y65" s="44">
        <v>2436.1</v>
      </c>
      <c r="Z65" s="44">
        <v>135034.65743961054</v>
      </c>
    </row>
    <row r="66" spans="1:489" s="45" customFormat="1" ht="14.5" x14ac:dyDescent="0.35">
      <c r="A66" s="38" t="s">
        <v>710</v>
      </c>
      <c r="B66" s="39">
        <v>2018</v>
      </c>
      <c r="C66" s="40">
        <v>473978400</v>
      </c>
      <c r="D66" s="41">
        <v>65564.530744181247</v>
      </c>
      <c r="E66" s="41">
        <v>152.62016483724506</v>
      </c>
      <c r="F66" s="41">
        <v>13777.258957483798</v>
      </c>
      <c r="G66" s="41">
        <v>1370.0507275100279</v>
      </c>
      <c r="H66" s="41">
        <v>817.279190755032</v>
      </c>
      <c r="I66" s="41">
        <v>3898.7996147768035</v>
      </c>
      <c r="J66" s="41">
        <v>10076.603222335994</v>
      </c>
      <c r="K66" s="41">
        <v>10560.824507462843</v>
      </c>
      <c r="L66" s="41">
        <v>1626.5548158426759</v>
      </c>
      <c r="M66" s="41">
        <v>2347.4502972197324</v>
      </c>
      <c r="N66" s="41">
        <v>2982.0225168461848</v>
      </c>
      <c r="O66" s="41">
        <v>6838.6570352254366</v>
      </c>
      <c r="P66" s="41">
        <v>2369.9461675087164</v>
      </c>
      <c r="Q66" s="41">
        <v>1279.8755951758126</v>
      </c>
      <c r="R66" s="41">
        <v>8644.0327470948687</v>
      </c>
      <c r="S66" s="41">
        <v>8580.9817862713335</v>
      </c>
      <c r="T66" s="41">
        <v>3156.3759659272705</v>
      </c>
      <c r="U66" s="41">
        <v>2950.0096472098385</v>
      </c>
      <c r="V66" s="42">
        <v>-1346.3065533322815</v>
      </c>
      <c r="W66" s="43"/>
      <c r="X66" s="44"/>
      <c r="Y66" s="44">
        <v>2436.1</v>
      </c>
      <c r="Z66" s="44">
        <v>145647.56715033259</v>
      </c>
    </row>
    <row r="67" spans="1:489" s="45" customFormat="1" x14ac:dyDescent="0.3">
      <c r="A67" s="38" t="s">
        <v>710</v>
      </c>
      <c r="B67" s="39">
        <v>2019</v>
      </c>
      <c r="C67" s="40">
        <v>392484000</v>
      </c>
      <c r="D67" s="46"/>
      <c r="E67" s="46"/>
      <c r="F67" s="46"/>
      <c r="G67" s="46"/>
      <c r="H67" s="46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5">
        <v>901777</v>
      </c>
      <c r="X67" s="44"/>
      <c r="Y67" s="44">
        <v>2436.1</v>
      </c>
      <c r="Z67" s="47">
        <v>151418</v>
      </c>
    </row>
    <row r="68" spans="1:489" s="45" customFormat="1" x14ac:dyDescent="0.3">
      <c r="A68" s="38" t="s">
        <v>710</v>
      </c>
      <c r="B68" s="39">
        <v>2020</v>
      </c>
      <c r="C68" s="40">
        <v>595976653</v>
      </c>
      <c r="D68" s="46">
        <v>77170</v>
      </c>
      <c r="E68" s="46">
        <v>170</v>
      </c>
      <c r="F68" s="46">
        <v>12899</v>
      </c>
      <c r="G68" s="46">
        <v>1489</v>
      </c>
      <c r="H68" s="46">
        <v>856</v>
      </c>
      <c r="I68" s="40">
        <v>5363</v>
      </c>
      <c r="J68" s="40">
        <v>11257</v>
      </c>
      <c r="K68" s="40">
        <v>12327</v>
      </c>
      <c r="L68" s="40">
        <v>1266</v>
      </c>
      <c r="M68" s="40">
        <v>2754</v>
      </c>
      <c r="N68" s="40">
        <v>3258</v>
      </c>
      <c r="O68" s="40">
        <v>7721</v>
      </c>
      <c r="P68" s="40">
        <v>2306</v>
      </c>
      <c r="Q68" s="40">
        <v>1217</v>
      </c>
      <c r="R68" s="40">
        <v>8994</v>
      </c>
      <c r="S68" s="40">
        <v>9334</v>
      </c>
      <c r="T68" s="40">
        <v>3687</v>
      </c>
      <c r="U68" s="40">
        <v>2803</v>
      </c>
      <c r="V68" s="40">
        <v>-1328</v>
      </c>
      <c r="W68" s="45">
        <v>917217</v>
      </c>
      <c r="X68" s="44"/>
      <c r="Y68" s="44">
        <v>2436.1</v>
      </c>
      <c r="Z68" s="47">
        <v>163543</v>
      </c>
    </row>
    <row r="69" spans="1:489" s="45" customFormat="1" ht="14.5" x14ac:dyDescent="0.35">
      <c r="A69" s="38" t="s">
        <v>710</v>
      </c>
      <c r="B69" s="39">
        <v>2021</v>
      </c>
      <c r="C69" s="40">
        <v>693663276</v>
      </c>
      <c r="D69" s="46">
        <v>81513</v>
      </c>
      <c r="E69" s="46">
        <v>203</v>
      </c>
      <c r="F69" s="46">
        <v>14659</v>
      </c>
      <c r="G69" s="46">
        <v>1502</v>
      </c>
      <c r="H69" s="46">
        <v>816</v>
      </c>
      <c r="I69" s="40">
        <v>6086</v>
      </c>
      <c r="J69" s="40">
        <v>12352</v>
      </c>
      <c r="K69" s="40">
        <v>16270</v>
      </c>
      <c r="L69" s="40">
        <v>2174</v>
      </c>
      <c r="M69" s="40">
        <v>2877</v>
      </c>
      <c r="N69" s="40">
        <v>3916</v>
      </c>
      <c r="O69" s="40">
        <v>8297</v>
      </c>
      <c r="P69" s="40">
        <v>2591</v>
      </c>
      <c r="Q69" s="40">
        <v>1387</v>
      </c>
      <c r="R69" s="40">
        <v>10618</v>
      </c>
      <c r="S69" s="40">
        <v>11814</v>
      </c>
      <c r="T69" s="40">
        <v>3831</v>
      </c>
      <c r="U69" s="40">
        <v>3150</v>
      </c>
      <c r="V69" s="40">
        <v>-1347</v>
      </c>
      <c r="W69" s="45">
        <v>929777</v>
      </c>
      <c r="X69" s="44"/>
      <c r="Y69" s="44">
        <v>2436.1</v>
      </c>
      <c r="Z69" s="47">
        <v>182708</v>
      </c>
      <c r="QI69" s="62">
        <v>11212316</v>
      </c>
      <c r="QJ69" s="62">
        <v>2288375</v>
      </c>
      <c r="QK69" s="62">
        <v>0</v>
      </c>
      <c r="QL69" s="62">
        <v>1859050</v>
      </c>
      <c r="QM69" s="62">
        <v>36450</v>
      </c>
      <c r="QN69" s="62">
        <v>1946700</v>
      </c>
      <c r="QO69" s="62">
        <v>5890985</v>
      </c>
      <c r="QP69" s="62">
        <v>20751350</v>
      </c>
      <c r="QQ69" s="62">
        <v>613829</v>
      </c>
      <c r="QR69" s="62">
        <v>14229650</v>
      </c>
      <c r="QS69" s="62">
        <v>20300</v>
      </c>
      <c r="QT69" s="62">
        <v>286150</v>
      </c>
      <c r="QU69" s="62">
        <v>281069</v>
      </c>
      <c r="QV69" s="62">
        <v>0</v>
      </c>
      <c r="QW69" s="62">
        <v>4047600</v>
      </c>
      <c r="QX69" s="62">
        <v>455050</v>
      </c>
      <c r="QY69" s="62">
        <v>124500</v>
      </c>
      <c r="QZ69" s="62">
        <v>219659651</v>
      </c>
      <c r="RA69" s="62">
        <v>6395940</v>
      </c>
      <c r="RB69" s="62">
        <v>2367900</v>
      </c>
      <c r="RC69" s="62">
        <v>0</v>
      </c>
      <c r="RD69" s="62">
        <v>382375</v>
      </c>
      <c r="RE69" s="62">
        <v>69619175.979999989</v>
      </c>
      <c r="RF69" s="62">
        <v>20217390</v>
      </c>
      <c r="RG69" s="62">
        <v>654800</v>
      </c>
      <c r="RH69" s="62">
        <v>802500</v>
      </c>
      <c r="RI69" s="62">
        <v>1649118</v>
      </c>
      <c r="RJ69" s="62">
        <v>1380636</v>
      </c>
      <c r="RK69" s="62">
        <v>4611120</v>
      </c>
      <c r="RL69" s="62">
        <v>2610600</v>
      </c>
      <c r="RM69" s="62">
        <v>6580000</v>
      </c>
      <c r="RN69" s="62">
        <v>2202200</v>
      </c>
      <c r="RO69" s="62">
        <v>5113534</v>
      </c>
      <c r="RP69" s="62">
        <v>58838700</v>
      </c>
      <c r="RQ69" s="62">
        <v>1464760</v>
      </c>
      <c r="RR69" s="62">
        <v>1591840</v>
      </c>
      <c r="RS69" s="62">
        <v>560000</v>
      </c>
      <c r="RT69" s="62">
        <v>89250</v>
      </c>
      <c r="RU69" s="62">
        <v>2178650</v>
      </c>
    </row>
    <row r="70" spans="1:489" s="45" customFormat="1" ht="14.5" x14ac:dyDescent="0.35">
      <c r="A70" s="38" t="s">
        <v>710</v>
      </c>
      <c r="B70" s="39">
        <v>2022</v>
      </c>
      <c r="C70" s="40">
        <v>501291247</v>
      </c>
      <c r="D70" s="46">
        <v>88957</v>
      </c>
      <c r="E70" s="46">
        <v>263</v>
      </c>
      <c r="F70" s="46">
        <v>17518</v>
      </c>
      <c r="G70" s="46">
        <v>1457</v>
      </c>
      <c r="H70" s="46">
        <v>762</v>
      </c>
      <c r="I70" s="40">
        <v>6820</v>
      </c>
      <c r="J70" s="40">
        <v>13608</v>
      </c>
      <c r="K70" s="40">
        <v>20723</v>
      </c>
      <c r="L70" s="40">
        <v>2396</v>
      </c>
      <c r="M70" s="40">
        <v>3177</v>
      </c>
      <c r="N70" s="40">
        <v>4591</v>
      </c>
      <c r="O70" s="40">
        <v>8898</v>
      </c>
      <c r="P70" s="40">
        <v>2718</v>
      </c>
      <c r="Q70" s="40">
        <v>1713</v>
      </c>
      <c r="R70" s="40">
        <v>12419</v>
      </c>
      <c r="S70" s="40">
        <v>12249</v>
      </c>
      <c r="T70" s="40">
        <v>4185</v>
      </c>
      <c r="U70" s="40">
        <v>3434</v>
      </c>
      <c r="V70" s="40">
        <v>-1447</v>
      </c>
      <c r="W70" s="45">
        <v>942337</v>
      </c>
      <c r="X70" s="45">
        <v>378611</v>
      </c>
      <c r="Y70" s="44">
        <v>2436.1</v>
      </c>
      <c r="Z70" s="47">
        <v>204443</v>
      </c>
      <c r="QI70" s="62">
        <v>12833817</v>
      </c>
      <c r="QJ70" s="62">
        <v>2156790</v>
      </c>
      <c r="QK70" s="62">
        <v>0</v>
      </c>
      <c r="QL70" s="62">
        <v>1430800</v>
      </c>
      <c r="QM70" s="62">
        <v>90700</v>
      </c>
      <c r="QN70" s="62">
        <v>90200</v>
      </c>
      <c r="QO70" s="62">
        <v>4402311</v>
      </c>
      <c r="QP70" s="62">
        <v>16270542</v>
      </c>
      <c r="QQ70" s="62">
        <v>370090</v>
      </c>
      <c r="QR70" s="62">
        <v>12950850</v>
      </c>
      <c r="QS70" s="62">
        <v>7800</v>
      </c>
      <c r="QT70" s="62">
        <v>239400</v>
      </c>
      <c r="QU70" s="62">
        <v>1000</v>
      </c>
      <c r="QV70" s="62">
        <v>0</v>
      </c>
      <c r="QW70" s="62">
        <v>3788900</v>
      </c>
      <c r="QX70" s="62">
        <v>352500</v>
      </c>
      <c r="QY70" s="62">
        <v>361500</v>
      </c>
      <c r="QZ70" s="62">
        <v>230176325</v>
      </c>
      <c r="RA70" s="62">
        <v>7771780</v>
      </c>
      <c r="RB70" s="62">
        <v>1933700</v>
      </c>
      <c r="RC70" s="62">
        <v>2300000</v>
      </c>
      <c r="RD70" s="62">
        <v>684625</v>
      </c>
      <c r="RE70" s="62">
        <v>62396739.660000004</v>
      </c>
      <c r="RF70" s="62">
        <v>16283460</v>
      </c>
      <c r="RG70" s="62">
        <v>563800</v>
      </c>
      <c r="RH70" s="62">
        <v>1307500</v>
      </c>
      <c r="RI70" s="62">
        <v>1997288</v>
      </c>
      <c r="RJ70" s="62">
        <v>1880406</v>
      </c>
      <c r="RK70" s="62">
        <v>14349380</v>
      </c>
      <c r="RL70" s="62">
        <v>2174500</v>
      </c>
      <c r="RM70" s="62">
        <v>5671200</v>
      </c>
      <c r="RN70" s="62">
        <v>3570800</v>
      </c>
      <c r="RO70" s="62">
        <v>4654900</v>
      </c>
      <c r="RP70" s="62">
        <v>53732500</v>
      </c>
      <c r="RQ70" s="62">
        <v>1335440</v>
      </c>
      <c r="RR70" s="62">
        <v>1751880</v>
      </c>
      <c r="RS70" s="62">
        <v>537100</v>
      </c>
      <c r="RT70" s="62">
        <v>51000</v>
      </c>
      <c r="RU70" s="62">
        <v>1928050</v>
      </c>
    </row>
    <row r="71" spans="1:489" s="45" customFormat="1" ht="14.5" x14ac:dyDescent="0.35">
      <c r="A71" s="38" t="s">
        <v>710</v>
      </c>
      <c r="B71" s="39">
        <v>2023</v>
      </c>
      <c r="C71" s="40">
        <v>308919218</v>
      </c>
      <c r="D71" s="50">
        <v>104967</v>
      </c>
      <c r="E71" s="15">
        <v>228</v>
      </c>
      <c r="F71" s="50">
        <v>19137</v>
      </c>
      <c r="G71" s="50">
        <v>1392</v>
      </c>
      <c r="H71" s="15">
        <v>749</v>
      </c>
      <c r="I71" s="50">
        <v>7184</v>
      </c>
      <c r="J71" s="50">
        <v>14886</v>
      </c>
      <c r="K71" s="50">
        <v>24445</v>
      </c>
      <c r="L71" s="50">
        <v>3103</v>
      </c>
      <c r="M71" s="50">
        <v>3361</v>
      </c>
      <c r="N71" s="50">
        <v>5419</v>
      </c>
      <c r="O71" s="50">
        <v>9718</v>
      </c>
      <c r="P71" s="50">
        <v>2979</v>
      </c>
      <c r="Q71" s="50">
        <v>2030</v>
      </c>
      <c r="R71" s="50">
        <v>12076</v>
      </c>
      <c r="S71" s="50">
        <v>12974</v>
      </c>
      <c r="T71" s="50">
        <v>4123</v>
      </c>
      <c r="U71" s="50">
        <v>3743</v>
      </c>
      <c r="V71" s="50">
        <v>-1954</v>
      </c>
      <c r="W71" s="45">
        <v>954896</v>
      </c>
      <c r="X71" s="44"/>
      <c r="Y71" s="44">
        <v>2436.1</v>
      </c>
      <c r="Z71" s="47"/>
      <c r="QI71" s="63">
        <v>11444262.545454545</v>
      </c>
      <c r="QJ71" s="63">
        <v>2509821.8181818179</v>
      </c>
      <c r="QK71" s="63">
        <v>5454545.4545454541</v>
      </c>
      <c r="QL71" s="63">
        <v>2000945.4545454544</v>
      </c>
      <c r="QM71" s="63">
        <v>42545.454545454544</v>
      </c>
      <c r="QN71" s="63">
        <v>180763.63636363635</v>
      </c>
      <c r="QO71" s="63">
        <v>8415546.5454545449</v>
      </c>
      <c r="QP71" s="63">
        <v>17146832.727272727</v>
      </c>
      <c r="QQ71" s="63">
        <v>2383077.8181818179</v>
      </c>
      <c r="QR71" s="63">
        <v>13273363.636363635</v>
      </c>
      <c r="QS71" s="63">
        <v>16636.363636363636</v>
      </c>
      <c r="QT71" s="63">
        <v>472963.63636363635</v>
      </c>
      <c r="QU71" s="63">
        <v>0</v>
      </c>
      <c r="QV71" s="63">
        <v>158901.81818181818</v>
      </c>
      <c r="QW71" s="63">
        <v>4512763.6363636358</v>
      </c>
      <c r="QX71" s="63">
        <v>2330836.3636363633</v>
      </c>
      <c r="QY71" s="63">
        <v>74727.272727272721</v>
      </c>
      <c r="QZ71" s="63">
        <v>224720819.99999997</v>
      </c>
      <c r="RA71" s="63">
        <v>7774747.6363636358</v>
      </c>
      <c r="RB71" s="63">
        <v>2682218.1818181816</v>
      </c>
      <c r="RC71" s="63">
        <v>1745454.5454545454</v>
      </c>
      <c r="RD71" s="63">
        <v>1124667.2727272727</v>
      </c>
      <c r="RE71" s="63">
        <v>96399124.330909088</v>
      </c>
      <c r="RF71" s="63">
        <v>16786870.909090906</v>
      </c>
      <c r="RG71" s="63">
        <v>1231854.5454545454</v>
      </c>
      <c r="RH71" s="63">
        <v>660000</v>
      </c>
      <c r="RI71" s="63">
        <v>2053889.4545454544</v>
      </c>
      <c r="RJ71" s="63">
        <v>1589579.9999999998</v>
      </c>
      <c r="RK71" s="63">
        <v>2349512.7272727271</v>
      </c>
      <c r="RL71" s="63">
        <v>3020618.1818181816</v>
      </c>
      <c r="RM71" s="63">
        <v>7949345.4545454541</v>
      </c>
      <c r="RN71" s="63">
        <v>2853709.0909090908</v>
      </c>
      <c r="RO71" s="63">
        <v>5299200</v>
      </c>
      <c r="RP71" s="63">
        <v>69030223.636363626</v>
      </c>
      <c r="RQ71" s="63">
        <v>1170043.6363636362</v>
      </c>
      <c r="RR71" s="63">
        <v>1583650.9090909089</v>
      </c>
      <c r="RS71" s="63">
        <v>487963.63636363635</v>
      </c>
      <c r="RT71" s="63">
        <v>90436.363636363632</v>
      </c>
      <c r="RU71" s="63">
        <v>2251352.7272727271</v>
      </c>
    </row>
    <row r="72" spans="1:489" s="45" customFormat="1" ht="14.5" x14ac:dyDescent="0.35">
      <c r="A72" s="38" t="s">
        <v>711</v>
      </c>
      <c r="B72" s="39">
        <v>2017</v>
      </c>
      <c r="C72" s="40">
        <v>1693708234</v>
      </c>
      <c r="D72" s="41">
        <v>82175.466289536984</v>
      </c>
      <c r="E72" s="41">
        <v>4576.6744128455521</v>
      </c>
      <c r="F72" s="41">
        <v>61318.446399384775</v>
      </c>
      <c r="G72" s="41">
        <v>9780.5334285489334</v>
      </c>
      <c r="H72" s="41">
        <v>3499.0307835248527</v>
      </c>
      <c r="I72" s="41">
        <v>57794.579959238981</v>
      </c>
      <c r="J72" s="41">
        <v>27805.265163259566</v>
      </c>
      <c r="K72" s="41">
        <v>43437.927566054823</v>
      </c>
      <c r="L72" s="41">
        <v>3803.4052146096319</v>
      </c>
      <c r="M72" s="41">
        <v>10972.35246117428</v>
      </c>
      <c r="N72" s="41">
        <v>15651.035376712582</v>
      </c>
      <c r="O72" s="41">
        <v>44746.435018971264</v>
      </c>
      <c r="P72" s="41">
        <v>16799.313854182532</v>
      </c>
      <c r="Q72" s="41">
        <v>8465.2354431935491</v>
      </c>
      <c r="R72" s="41">
        <v>16694.432986473636</v>
      </c>
      <c r="S72" s="41">
        <v>27888.874322644097</v>
      </c>
      <c r="T72" s="41">
        <v>10120.661285783666</v>
      </c>
      <c r="U72" s="41">
        <v>18542.617775552262</v>
      </c>
      <c r="V72" s="42">
        <v>-6763.0883088007031</v>
      </c>
      <c r="W72" s="43"/>
      <c r="X72" s="44"/>
      <c r="Y72" s="44">
        <v>2538.6</v>
      </c>
      <c r="Z72" s="44">
        <v>457309.19943289121</v>
      </c>
    </row>
    <row r="73" spans="1:489" s="45" customFormat="1" ht="14.5" x14ac:dyDescent="0.35">
      <c r="A73" s="38" t="s">
        <v>711</v>
      </c>
      <c r="B73" s="39">
        <v>2018</v>
      </c>
      <c r="C73" s="40">
        <v>2742223118</v>
      </c>
      <c r="D73" s="41">
        <v>76308.269488779712</v>
      </c>
      <c r="E73" s="41">
        <v>4288.013425907151</v>
      </c>
      <c r="F73" s="41">
        <v>64503.677480800441</v>
      </c>
      <c r="G73" s="41">
        <v>9902.0569157141508</v>
      </c>
      <c r="H73" s="41">
        <v>3986.1415243468145</v>
      </c>
      <c r="I73" s="41">
        <v>69227.28251597163</v>
      </c>
      <c r="J73" s="41">
        <v>29002.340579245902</v>
      </c>
      <c r="K73" s="41">
        <v>51073.597721715756</v>
      </c>
      <c r="L73" s="41">
        <v>4462.2074994870263</v>
      </c>
      <c r="M73" s="41">
        <v>11685.53844855036</v>
      </c>
      <c r="N73" s="41">
        <v>15205.356790510094</v>
      </c>
      <c r="O73" s="41">
        <v>49732.231417830779</v>
      </c>
      <c r="P73" s="41">
        <v>17848.599259204013</v>
      </c>
      <c r="Q73" s="41">
        <v>9893.1551718504688</v>
      </c>
      <c r="R73" s="41">
        <v>17903.094663173331</v>
      </c>
      <c r="S73" s="41">
        <v>26749.913557946988</v>
      </c>
      <c r="T73" s="41">
        <v>10050.711993216075</v>
      </c>
      <c r="U73" s="41">
        <v>20488.280725999117</v>
      </c>
      <c r="V73" s="42">
        <v>-6330.7661877484143</v>
      </c>
      <c r="W73" s="43"/>
      <c r="X73" s="44"/>
      <c r="Y73" s="44">
        <v>2538.6</v>
      </c>
      <c r="Z73" s="44">
        <v>485979.70299250144</v>
      </c>
    </row>
    <row r="74" spans="1:489" s="45" customFormat="1" x14ac:dyDescent="0.3">
      <c r="A74" s="38" t="s">
        <v>711</v>
      </c>
      <c r="B74" s="39">
        <v>2019</v>
      </c>
      <c r="C74" s="40">
        <v>2466345109</v>
      </c>
      <c r="D74" s="46"/>
      <c r="E74" s="46"/>
      <c r="F74" s="46"/>
      <c r="G74" s="46"/>
      <c r="H74" s="46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5">
        <v>2417735</v>
      </c>
      <c r="X74" s="44"/>
      <c r="Y74" s="44">
        <v>2538.6</v>
      </c>
      <c r="Z74" s="47">
        <v>533771</v>
      </c>
    </row>
    <row r="75" spans="1:489" s="45" customFormat="1" x14ac:dyDescent="0.3">
      <c r="A75" s="38" t="s">
        <v>711</v>
      </c>
      <c r="B75" s="39">
        <v>2020</v>
      </c>
      <c r="C75" s="40">
        <v>2392873848</v>
      </c>
      <c r="D75" s="46">
        <v>91250</v>
      </c>
      <c r="E75" s="46">
        <v>4778</v>
      </c>
      <c r="F75" s="46">
        <v>68266</v>
      </c>
      <c r="G75" s="46">
        <v>10588</v>
      </c>
      <c r="H75" s="46">
        <v>4278</v>
      </c>
      <c r="I75" s="40">
        <v>95155</v>
      </c>
      <c r="J75" s="40">
        <v>31168</v>
      </c>
      <c r="K75" s="40">
        <v>59001</v>
      </c>
      <c r="L75" s="40">
        <v>3473</v>
      </c>
      <c r="M75" s="40">
        <v>13693</v>
      </c>
      <c r="N75" s="40">
        <v>16553</v>
      </c>
      <c r="O75" s="40">
        <v>56139</v>
      </c>
      <c r="P75" s="40">
        <v>17364</v>
      </c>
      <c r="Q75" s="40">
        <v>9409</v>
      </c>
      <c r="R75" s="40">
        <v>21730</v>
      </c>
      <c r="S75" s="40">
        <v>26734</v>
      </c>
      <c r="T75" s="40">
        <v>11774</v>
      </c>
      <c r="U75" s="40">
        <v>19795</v>
      </c>
      <c r="V75" s="40">
        <v>-6632</v>
      </c>
      <c r="W75" s="45">
        <v>2500990</v>
      </c>
      <c r="X75" s="44"/>
      <c r="Y75" s="44">
        <v>2538.6</v>
      </c>
      <c r="Z75" s="47">
        <v>554515</v>
      </c>
    </row>
    <row r="76" spans="1:489" s="45" customFormat="1" x14ac:dyDescent="0.3">
      <c r="A76" s="38" t="s">
        <v>711</v>
      </c>
      <c r="B76" s="39">
        <v>2021</v>
      </c>
      <c r="C76" s="40">
        <v>3149854095</v>
      </c>
      <c r="D76" s="46">
        <v>100287</v>
      </c>
      <c r="E76" s="46">
        <v>5708</v>
      </c>
      <c r="F76" s="46">
        <v>75866</v>
      </c>
      <c r="G76" s="46">
        <v>10742</v>
      </c>
      <c r="H76" s="46">
        <v>4798</v>
      </c>
      <c r="I76" s="40">
        <v>107655</v>
      </c>
      <c r="J76" s="40">
        <v>34129</v>
      </c>
      <c r="K76" s="40">
        <v>69264</v>
      </c>
      <c r="L76" s="40">
        <v>5964</v>
      </c>
      <c r="M76" s="40">
        <v>14314</v>
      </c>
      <c r="N76" s="40">
        <v>19794</v>
      </c>
      <c r="O76" s="40">
        <v>60227</v>
      </c>
      <c r="P76" s="40">
        <v>19514</v>
      </c>
      <c r="Q76" s="40">
        <v>10721</v>
      </c>
      <c r="R76" s="40">
        <v>20832</v>
      </c>
      <c r="S76" s="40">
        <v>33864</v>
      </c>
      <c r="T76" s="40">
        <v>13445</v>
      </c>
      <c r="U76" s="40">
        <v>22139</v>
      </c>
      <c r="V76" s="40">
        <v>-6703</v>
      </c>
      <c r="W76" s="45">
        <v>2551620</v>
      </c>
      <c r="X76" s="44"/>
      <c r="Y76" s="44">
        <v>2538.6</v>
      </c>
      <c r="Z76" s="47">
        <v>622560</v>
      </c>
    </row>
    <row r="77" spans="1:489" s="45" customFormat="1" x14ac:dyDescent="0.3">
      <c r="A77" s="38" t="s">
        <v>711</v>
      </c>
      <c r="B77" s="39">
        <v>2022</v>
      </c>
      <c r="C77" s="40">
        <v>2426605897</v>
      </c>
      <c r="D77" s="46">
        <v>129360</v>
      </c>
      <c r="E77" s="46">
        <v>7399</v>
      </c>
      <c r="F77" s="46">
        <v>89309</v>
      </c>
      <c r="G77" s="46">
        <v>11157</v>
      </c>
      <c r="H77" s="46">
        <v>5826</v>
      </c>
      <c r="I77" s="40">
        <v>120971</v>
      </c>
      <c r="J77" s="40">
        <v>38219</v>
      </c>
      <c r="K77" s="40">
        <v>87929</v>
      </c>
      <c r="L77" s="40">
        <v>6573</v>
      </c>
      <c r="M77" s="40">
        <v>15801</v>
      </c>
      <c r="N77" s="40">
        <v>23340</v>
      </c>
      <c r="O77" s="40">
        <v>64674</v>
      </c>
      <c r="P77" s="40">
        <v>20467</v>
      </c>
      <c r="Q77" s="40">
        <v>13244</v>
      </c>
      <c r="R77" s="40">
        <v>22113</v>
      </c>
      <c r="S77" s="40">
        <v>34996</v>
      </c>
      <c r="T77" s="40">
        <v>13160</v>
      </c>
      <c r="U77" s="40">
        <v>23899</v>
      </c>
      <c r="V77" s="40">
        <v>-7231</v>
      </c>
      <c r="W77" s="45">
        <v>2602250</v>
      </c>
      <c r="X77" s="45">
        <v>1285151</v>
      </c>
      <c r="Y77" s="44">
        <v>2538.6</v>
      </c>
      <c r="Z77" s="47">
        <v>721205</v>
      </c>
    </row>
    <row r="78" spans="1:489" s="45" customFormat="1" ht="14.5" x14ac:dyDescent="0.35">
      <c r="A78" s="38" t="s">
        <v>711</v>
      </c>
      <c r="B78" s="39">
        <v>2023</v>
      </c>
      <c r="C78" s="40">
        <v>1703357699</v>
      </c>
      <c r="D78" s="50">
        <v>117157</v>
      </c>
      <c r="E78" s="50">
        <v>6408</v>
      </c>
      <c r="F78" s="50">
        <v>95103</v>
      </c>
      <c r="G78" s="50">
        <v>10826</v>
      </c>
      <c r="H78" s="50">
        <v>5921</v>
      </c>
      <c r="I78" s="50">
        <v>127306</v>
      </c>
      <c r="J78" s="50">
        <v>42268</v>
      </c>
      <c r="K78" s="50">
        <v>102204</v>
      </c>
      <c r="L78" s="50">
        <v>8512</v>
      </c>
      <c r="M78" s="50">
        <v>16706</v>
      </c>
      <c r="N78" s="50">
        <v>27095</v>
      </c>
      <c r="O78" s="50">
        <v>70481</v>
      </c>
      <c r="P78" s="50">
        <v>22436</v>
      </c>
      <c r="Q78" s="50">
        <v>15690</v>
      </c>
      <c r="R78" s="50">
        <v>26436</v>
      </c>
      <c r="S78" s="50">
        <v>36648</v>
      </c>
      <c r="T78" s="50">
        <v>13629</v>
      </c>
      <c r="U78" s="50">
        <v>25892</v>
      </c>
      <c r="V78" s="50">
        <v>-9903</v>
      </c>
      <c r="W78" s="45">
        <v>2652880</v>
      </c>
      <c r="X78" s="44"/>
      <c r="Y78" s="44">
        <v>2538.6</v>
      </c>
      <c r="Z78" s="47"/>
    </row>
    <row r="79" spans="1:489" s="45" customFormat="1" ht="14.5" x14ac:dyDescent="0.35">
      <c r="A79" s="38" t="s">
        <v>712</v>
      </c>
      <c r="B79" s="39">
        <v>2017</v>
      </c>
      <c r="C79" s="40">
        <v>523347190</v>
      </c>
      <c r="D79" s="41">
        <v>29609.362348459283</v>
      </c>
      <c r="E79" s="41">
        <v>3710.5714136083943</v>
      </c>
      <c r="F79" s="41">
        <v>36039.918397557674</v>
      </c>
      <c r="G79" s="41">
        <v>658.48593906603128</v>
      </c>
      <c r="H79" s="41">
        <v>1887.5299370151736</v>
      </c>
      <c r="I79" s="41">
        <v>1509.3921329547484</v>
      </c>
      <c r="J79" s="41">
        <v>9306.8690452610244</v>
      </c>
      <c r="K79" s="41">
        <v>18139.08585906342</v>
      </c>
      <c r="L79" s="41">
        <v>2761.9708147165202</v>
      </c>
      <c r="M79" s="41">
        <v>5010.0560192563589</v>
      </c>
      <c r="N79" s="41">
        <v>3729.7433826968222</v>
      </c>
      <c r="O79" s="41">
        <v>15508.215866639504</v>
      </c>
      <c r="P79" s="41">
        <v>3554.8897883714581</v>
      </c>
      <c r="Q79" s="41">
        <v>1702.1037902531259</v>
      </c>
      <c r="R79" s="41">
        <v>11976.371559646384</v>
      </c>
      <c r="S79" s="41">
        <v>8783.297736967219</v>
      </c>
      <c r="T79" s="41">
        <v>4661.9941557990032</v>
      </c>
      <c r="U79" s="41">
        <v>5696.9864090830979</v>
      </c>
      <c r="V79" s="42">
        <v>-1474.81708623436</v>
      </c>
      <c r="W79" s="43"/>
      <c r="X79" s="44"/>
      <c r="Y79" s="44">
        <v>12539.7</v>
      </c>
      <c r="Z79" s="44">
        <v>162772.02751018089</v>
      </c>
    </row>
    <row r="80" spans="1:489" s="45" customFormat="1" ht="14.5" x14ac:dyDescent="0.35">
      <c r="A80" s="38" t="s">
        <v>712</v>
      </c>
      <c r="B80" s="39">
        <v>2018</v>
      </c>
      <c r="C80" s="40">
        <v>792493811</v>
      </c>
      <c r="D80" s="41">
        <v>31484.629878534204</v>
      </c>
      <c r="E80" s="41">
        <v>3476.537460187692</v>
      </c>
      <c r="F80" s="41">
        <v>38066.650205029087</v>
      </c>
      <c r="G80" s="41">
        <v>982.04010213006461</v>
      </c>
      <c r="H80" s="41">
        <v>2088.4458443404897</v>
      </c>
      <c r="I80" s="41">
        <v>1779.0401400429319</v>
      </c>
      <c r="J80" s="41">
        <v>9813.7171981655265</v>
      </c>
      <c r="K80" s="41">
        <v>24966.237245244633</v>
      </c>
      <c r="L80" s="41">
        <v>3240.3822857084915</v>
      </c>
      <c r="M80" s="41">
        <v>5333.0864689915697</v>
      </c>
      <c r="N80" s="41">
        <v>2918.5580951332404</v>
      </c>
      <c r="O80" s="41">
        <v>17235.129501327072</v>
      </c>
      <c r="P80" s="41">
        <v>3776.9282599289959</v>
      </c>
      <c r="Q80" s="41">
        <v>1989.2154244934195</v>
      </c>
      <c r="R80" s="41">
        <v>11137.737136544336</v>
      </c>
      <c r="S80" s="41">
        <v>9684.8313668327701</v>
      </c>
      <c r="T80" s="41">
        <v>4761.2786648596202</v>
      </c>
      <c r="U80" s="41">
        <v>6290.7418337795871</v>
      </c>
      <c r="V80" s="42">
        <v>-1239.2769797376664</v>
      </c>
      <c r="W80" s="43"/>
      <c r="X80" s="44"/>
      <c r="Y80" s="44">
        <v>12539.7</v>
      </c>
      <c r="Z80" s="44">
        <v>177785.91013153607</v>
      </c>
    </row>
    <row r="81" spans="1:26" s="45" customFormat="1" x14ac:dyDescent="0.3">
      <c r="A81" s="38" t="s">
        <v>712</v>
      </c>
      <c r="B81" s="39">
        <v>2019</v>
      </c>
      <c r="C81" s="40">
        <v>793713056</v>
      </c>
      <c r="D81" s="46"/>
      <c r="E81" s="46"/>
      <c r="F81" s="46"/>
      <c r="G81" s="46"/>
      <c r="H81" s="46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5">
        <v>1453787</v>
      </c>
      <c r="X81" s="44"/>
      <c r="Y81" s="44">
        <v>12539.7</v>
      </c>
      <c r="Z81" s="47">
        <v>196456</v>
      </c>
    </row>
    <row r="82" spans="1:26" s="45" customFormat="1" x14ac:dyDescent="0.3">
      <c r="A82" s="38" t="s">
        <v>712</v>
      </c>
      <c r="B82" s="39">
        <v>2020</v>
      </c>
      <c r="C82" s="40">
        <v>833845293</v>
      </c>
      <c r="D82" s="46">
        <v>41510</v>
      </c>
      <c r="E82" s="46">
        <v>3874</v>
      </c>
      <c r="F82" s="46">
        <v>35536</v>
      </c>
      <c r="G82" s="46">
        <v>1117</v>
      </c>
      <c r="H82" s="46">
        <v>1992</v>
      </c>
      <c r="I82" s="40">
        <v>2457</v>
      </c>
      <c r="J82" s="40">
        <v>10817</v>
      </c>
      <c r="K82" s="40">
        <v>28222</v>
      </c>
      <c r="L82" s="40">
        <v>2522</v>
      </c>
      <c r="M82" s="40">
        <v>6257</v>
      </c>
      <c r="N82" s="40">
        <v>3234</v>
      </c>
      <c r="O82" s="40">
        <v>19454</v>
      </c>
      <c r="P82" s="40">
        <v>3674</v>
      </c>
      <c r="Q82" s="40">
        <v>1892</v>
      </c>
      <c r="R82" s="40">
        <v>15564</v>
      </c>
      <c r="S82" s="40">
        <v>11470</v>
      </c>
      <c r="T82" s="40">
        <v>5599</v>
      </c>
      <c r="U82" s="40">
        <v>6018</v>
      </c>
      <c r="V82" s="40">
        <v>-1257</v>
      </c>
      <c r="W82" s="45">
        <v>1488572</v>
      </c>
      <c r="X82" s="44"/>
      <c r="Y82" s="44">
        <v>12539.7</v>
      </c>
      <c r="Z82" s="47">
        <v>199953</v>
      </c>
    </row>
    <row r="83" spans="1:26" s="45" customFormat="1" x14ac:dyDescent="0.3">
      <c r="A83" s="38" t="s">
        <v>712</v>
      </c>
      <c r="B83" s="39">
        <v>2021</v>
      </c>
      <c r="C83" s="40">
        <v>843145303</v>
      </c>
      <c r="D83" s="46">
        <v>45695</v>
      </c>
      <c r="E83" s="46">
        <v>4628</v>
      </c>
      <c r="F83" s="46">
        <v>40821</v>
      </c>
      <c r="G83" s="46">
        <v>1089</v>
      </c>
      <c r="H83" s="46">
        <v>2229</v>
      </c>
      <c r="I83" s="40">
        <v>2836</v>
      </c>
      <c r="J83" s="40">
        <v>11861</v>
      </c>
      <c r="K83" s="40">
        <v>35416</v>
      </c>
      <c r="L83" s="40">
        <v>4331</v>
      </c>
      <c r="M83" s="40">
        <v>6536</v>
      </c>
      <c r="N83" s="40">
        <v>3848</v>
      </c>
      <c r="O83" s="40">
        <v>20860</v>
      </c>
      <c r="P83" s="40">
        <v>4129</v>
      </c>
      <c r="Q83" s="40">
        <v>2156</v>
      </c>
      <c r="R83" s="40">
        <v>18217</v>
      </c>
      <c r="S83" s="40">
        <v>14414</v>
      </c>
      <c r="T83" s="40">
        <v>5463</v>
      </c>
      <c r="U83" s="40">
        <v>6750</v>
      </c>
      <c r="V83" s="40">
        <v>-1476</v>
      </c>
      <c r="W83" s="45">
        <v>1518160</v>
      </c>
      <c r="X83" s="44"/>
      <c r="Y83" s="44">
        <v>12539.7</v>
      </c>
      <c r="Z83" s="47">
        <v>229804</v>
      </c>
    </row>
    <row r="84" spans="1:26" s="45" customFormat="1" x14ac:dyDescent="0.3">
      <c r="A84" s="38" t="s">
        <v>712</v>
      </c>
      <c r="B84" s="39">
        <v>2022</v>
      </c>
      <c r="C84" s="40">
        <v>1008361868</v>
      </c>
      <c r="D84" s="46">
        <v>50640</v>
      </c>
      <c r="E84" s="46">
        <v>5999</v>
      </c>
      <c r="F84" s="46">
        <v>48324</v>
      </c>
      <c r="G84" s="46">
        <v>1506</v>
      </c>
      <c r="H84" s="46">
        <v>2413</v>
      </c>
      <c r="I84" s="40">
        <v>3131</v>
      </c>
      <c r="J84" s="40">
        <v>13141</v>
      </c>
      <c r="K84" s="40">
        <v>41297</v>
      </c>
      <c r="L84" s="40">
        <v>4774</v>
      </c>
      <c r="M84" s="40">
        <v>7219</v>
      </c>
      <c r="N84" s="40">
        <v>4455</v>
      </c>
      <c r="O84" s="40">
        <v>22410</v>
      </c>
      <c r="P84" s="40">
        <v>4331</v>
      </c>
      <c r="Q84" s="40">
        <v>2663</v>
      </c>
      <c r="R84" s="40">
        <v>16442</v>
      </c>
      <c r="S84" s="40">
        <v>15057</v>
      </c>
      <c r="T84" s="40">
        <v>5253</v>
      </c>
      <c r="U84" s="40">
        <v>7329</v>
      </c>
      <c r="V84" s="40">
        <v>-1586</v>
      </c>
      <c r="W84" s="45">
        <v>1547747</v>
      </c>
      <c r="X84" s="45">
        <v>557808</v>
      </c>
      <c r="Y84" s="44">
        <v>12539.7</v>
      </c>
      <c r="Z84" s="47">
        <v>254799</v>
      </c>
    </row>
    <row r="85" spans="1:26" s="45" customFormat="1" ht="14.5" x14ac:dyDescent="0.35">
      <c r="A85" s="38" t="s">
        <v>712</v>
      </c>
      <c r="B85" s="39">
        <v>2023</v>
      </c>
      <c r="C85" s="40">
        <v>1173578433</v>
      </c>
      <c r="D85" s="45">
        <v>59907</v>
      </c>
      <c r="E85" s="45">
        <v>5195</v>
      </c>
      <c r="F85" s="45">
        <v>53650</v>
      </c>
      <c r="G85" s="45">
        <v>6404</v>
      </c>
      <c r="H85" s="45">
        <v>2217</v>
      </c>
      <c r="I85" s="45">
        <v>3315</v>
      </c>
      <c r="J85" s="45">
        <v>14429</v>
      </c>
      <c r="K85" s="50">
        <v>52252</v>
      </c>
      <c r="L85" s="45">
        <v>6181</v>
      </c>
      <c r="M85" s="45">
        <v>7636</v>
      </c>
      <c r="N85" s="50">
        <v>5264</v>
      </c>
      <c r="O85" s="50">
        <v>24405</v>
      </c>
      <c r="P85" s="50">
        <v>4748</v>
      </c>
      <c r="Q85" s="50">
        <v>3155</v>
      </c>
      <c r="R85" s="50">
        <v>19533</v>
      </c>
      <c r="S85" s="15" t="s">
        <v>713</v>
      </c>
      <c r="T85" s="50">
        <v>5816</v>
      </c>
      <c r="U85" s="50">
        <v>7969</v>
      </c>
      <c r="V85" s="50">
        <v>-1848</v>
      </c>
      <c r="W85" s="45">
        <v>1577335</v>
      </c>
      <c r="X85" s="44"/>
      <c r="Y85" s="44">
        <v>12539.7</v>
      </c>
      <c r="Z85" s="47"/>
    </row>
    <row r="86" spans="1:26" s="45" customFormat="1" ht="14.5" x14ac:dyDescent="0.35">
      <c r="A86" s="38" t="s">
        <v>714</v>
      </c>
      <c r="B86" s="39">
        <v>2017</v>
      </c>
      <c r="C86" s="40">
        <v>343970322</v>
      </c>
      <c r="D86" s="41">
        <v>42112.403275959907</v>
      </c>
      <c r="E86" s="41">
        <v>1585.6738789560222</v>
      </c>
      <c r="F86" s="41">
        <v>5059.1855582181706</v>
      </c>
      <c r="G86" s="41">
        <v>506.34886244268381</v>
      </c>
      <c r="H86" s="41">
        <v>572.28437594061461</v>
      </c>
      <c r="I86" s="41">
        <v>473.91425745332037</v>
      </c>
      <c r="J86" s="41">
        <v>6674.1823759907957</v>
      </c>
      <c r="K86" s="41">
        <v>12040.983406569208</v>
      </c>
      <c r="L86" s="41">
        <v>3386.8314546523879</v>
      </c>
      <c r="M86" s="41">
        <v>2272.0841249694254</v>
      </c>
      <c r="N86" s="41">
        <v>2401.0210657250464</v>
      </c>
      <c r="O86" s="41">
        <v>6454.3278585554044</v>
      </c>
      <c r="P86" s="41">
        <v>2632.8647367218446</v>
      </c>
      <c r="Q86" s="41">
        <v>1012.1261277864562</v>
      </c>
      <c r="R86" s="41">
        <v>7236.8672032800314</v>
      </c>
      <c r="S86" s="41">
        <v>4163.7728481449885</v>
      </c>
      <c r="T86" s="41">
        <v>2718.7956485866684</v>
      </c>
      <c r="U86" s="41">
        <v>2849.8792381595545</v>
      </c>
      <c r="V86" s="42">
        <v>-928.40962516328273</v>
      </c>
      <c r="W86" s="43"/>
      <c r="X86" s="44"/>
      <c r="Y86" s="44">
        <v>1478.3</v>
      </c>
      <c r="Z86" s="44">
        <v>103225.13667294924</v>
      </c>
    </row>
    <row r="87" spans="1:26" s="45" customFormat="1" ht="14.5" x14ac:dyDescent="0.35">
      <c r="A87" s="38" t="s">
        <v>714</v>
      </c>
      <c r="B87" s="39">
        <v>2018</v>
      </c>
      <c r="C87" s="40">
        <v>432638447</v>
      </c>
      <c r="D87" s="41">
        <v>41330.720630664335</v>
      </c>
      <c r="E87" s="41">
        <v>1485.6619170875574</v>
      </c>
      <c r="F87" s="41">
        <v>5509.8881959100527</v>
      </c>
      <c r="G87" s="41">
        <v>558.43483401274284</v>
      </c>
      <c r="H87" s="41">
        <v>599.16929101008543</v>
      </c>
      <c r="I87" s="41">
        <v>555.91621519000034</v>
      </c>
      <c r="J87" s="41">
        <v>6923.8145316812543</v>
      </c>
      <c r="K87" s="41">
        <v>10816.701328106072</v>
      </c>
      <c r="L87" s="41">
        <v>3973.4774139756128</v>
      </c>
      <c r="M87" s="41">
        <v>2423.8793103207527</v>
      </c>
      <c r="N87" s="41">
        <v>1801.8665093374452</v>
      </c>
      <c r="O87" s="41">
        <v>7177.2657510513582</v>
      </c>
      <c r="P87" s="41">
        <v>2797.3135091906165</v>
      </c>
      <c r="Q87" s="41">
        <v>1182.8520190453285</v>
      </c>
      <c r="R87" s="41">
        <v>7380.5333668506373</v>
      </c>
      <c r="S87" s="41">
        <v>4523.4367645313268</v>
      </c>
      <c r="T87" s="41">
        <v>3258.6514317745191</v>
      </c>
      <c r="U87" s="41">
        <v>3147.5612556154701</v>
      </c>
      <c r="V87" s="42">
        <v>-756.55511515335138</v>
      </c>
      <c r="W87" s="43"/>
      <c r="X87" s="44"/>
      <c r="Y87" s="44">
        <v>1478.3</v>
      </c>
      <c r="Z87" s="44">
        <v>104690.58916020179</v>
      </c>
    </row>
    <row r="88" spans="1:26" s="45" customFormat="1" x14ac:dyDescent="0.3">
      <c r="A88" s="38" t="s">
        <v>714</v>
      </c>
      <c r="B88" s="39">
        <v>2019</v>
      </c>
      <c r="C88" s="40">
        <v>374724254</v>
      </c>
      <c r="D88" s="46"/>
      <c r="E88" s="46"/>
      <c r="F88" s="46"/>
      <c r="G88" s="46"/>
      <c r="H88" s="46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5">
        <v>610411</v>
      </c>
      <c r="X88" s="44"/>
      <c r="Y88" s="44">
        <v>1478.3</v>
      </c>
      <c r="Z88" s="47">
        <v>116133</v>
      </c>
    </row>
    <row r="89" spans="1:26" s="45" customFormat="1" x14ac:dyDescent="0.3">
      <c r="A89" s="38" t="s">
        <v>714</v>
      </c>
      <c r="B89" s="39">
        <v>2020</v>
      </c>
      <c r="C89" s="40">
        <v>373652582</v>
      </c>
      <c r="D89" s="46">
        <v>55463</v>
      </c>
      <c r="E89" s="46">
        <v>1656</v>
      </c>
      <c r="F89" s="46">
        <v>5877</v>
      </c>
      <c r="G89" s="46">
        <v>646</v>
      </c>
      <c r="H89" s="46">
        <v>573</v>
      </c>
      <c r="I89" s="40">
        <v>769</v>
      </c>
      <c r="J89" s="40">
        <v>7345</v>
      </c>
      <c r="K89" s="40">
        <v>12705</v>
      </c>
      <c r="L89" s="40">
        <v>3092</v>
      </c>
      <c r="M89" s="40">
        <v>2827</v>
      </c>
      <c r="N89" s="40">
        <v>1944</v>
      </c>
      <c r="O89" s="40">
        <v>8107</v>
      </c>
      <c r="P89" s="40">
        <v>2721</v>
      </c>
      <c r="Q89" s="40">
        <v>1125</v>
      </c>
      <c r="R89" s="40">
        <v>8700</v>
      </c>
      <c r="S89" s="40">
        <v>4694</v>
      </c>
      <c r="T89" s="40">
        <v>3207</v>
      </c>
      <c r="U89" s="40">
        <v>3021</v>
      </c>
      <c r="V89" s="40">
        <v>-763</v>
      </c>
      <c r="W89" s="45">
        <v>637139</v>
      </c>
      <c r="X89" s="44"/>
      <c r="Y89" s="44">
        <v>1478.3</v>
      </c>
      <c r="Z89" s="47">
        <v>123709</v>
      </c>
    </row>
    <row r="90" spans="1:26" s="45" customFormat="1" x14ac:dyDescent="0.3">
      <c r="A90" s="38" t="s">
        <v>714</v>
      </c>
      <c r="B90" s="39">
        <v>2021</v>
      </c>
      <c r="C90" s="40">
        <v>473061809</v>
      </c>
      <c r="D90" s="46">
        <v>58752</v>
      </c>
      <c r="E90" s="46">
        <v>1978</v>
      </c>
      <c r="F90" s="46">
        <v>6544</v>
      </c>
      <c r="G90" s="46">
        <v>630</v>
      </c>
      <c r="H90" s="46">
        <v>625</v>
      </c>
      <c r="I90" s="40">
        <v>893</v>
      </c>
      <c r="J90" s="40">
        <v>8037</v>
      </c>
      <c r="K90" s="40">
        <v>17392</v>
      </c>
      <c r="L90" s="40">
        <v>5311</v>
      </c>
      <c r="M90" s="40">
        <v>2964</v>
      </c>
      <c r="N90" s="40">
        <v>2326</v>
      </c>
      <c r="O90" s="40">
        <v>8734</v>
      </c>
      <c r="P90" s="40">
        <v>3058</v>
      </c>
      <c r="Q90" s="40">
        <v>1282</v>
      </c>
      <c r="R90" s="40">
        <v>9099</v>
      </c>
      <c r="S90" s="40">
        <v>5973</v>
      </c>
      <c r="T90" s="40">
        <v>3716</v>
      </c>
      <c r="U90" s="40">
        <v>3385</v>
      </c>
      <c r="V90" s="40">
        <v>-913</v>
      </c>
      <c r="W90" s="45">
        <v>642463</v>
      </c>
      <c r="X90" s="44"/>
      <c r="Y90" s="44">
        <v>1478.3</v>
      </c>
      <c r="Z90" s="47">
        <v>139785</v>
      </c>
    </row>
    <row r="91" spans="1:26" s="45" customFormat="1" x14ac:dyDescent="0.3">
      <c r="A91" s="38" t="s">
        <v>714</v>
      </c>
      <c r="B91" s="39">
        <v>2022</v>
      </c>
      <c r="C91" s="40">
        <v>381273698</v>
      </c>
      <c r="D91" s="46">
        <v>68366</v>
      </c>
      <c r="E91" s="46">
        <v>2563</v>
      </c>
      <c r="F91" s="46">
        <v>8115</v>
      </c>
      <c r="G91" s="46">
        <v>584</v>
      </c>
      <c r="H91" s="46">
        <v>603</v>
      </c>
      <c r="I91" s="40">
        <v>981</v>
      </c>
      <c r="J91" s="40">
        <v>9050</v>
      </c>
      <c r="K91" s="40">
        <v>22024</v>
      </c>
      <c r="L91" s="40">
        <v>5853</v>
      </c>
      <c r="M91" s="40">
        <v>3265</v>
      </c>
      <c r="N91" s="40">
        <v>2732</v>
      </c>
      <c r="O91" s="40">
        <v>9346</v>
      </c>
      <c r="P91" s="40">
        <v>3208</v>
      </c>
      <c r="Q91" s="40">
        <v>1583</v>
      </c>
      <c r="R91" s="40">
        <v>9898</v>
      </c>
      <c r="S91" s="40">
        <v>6169</v>
      </c>
      <c r="T91" s="40">
        <v>3890</v>
      </c>
      <c r="U91" s="40">
        <v>3669</v>
      </c>
      <c r="V91" s="40">
        <v>-990</v>
      </c>
      <c r="W91" s="45">
        <v>647788</v>
      </c>
      <c r="X91" s="45">
        <v>358533</v>
      </c>
      <c r="Y91" s="44">
        <v>1478.3</v>
      </c>
      <c r="Z91" s="47">
        <v>160909</v>
      </c>
    </row>
    <row r="92" spans="1:26" s="45" customFormat="1" ht="14.5" x14ac:dyDescent="0.35">
      <c r="A92" s="38" t="s">
        <v>714</v>
      </c>
      <c r="B92" s="39">
        <v>2023</v>
      </c>
      <c r="C92" s="40">
        <v>289485587</v>
      </c>
      <c r="D92" s="50">
        <v>72576</v>
      </c>
      <c r="E92" s="50">
        <v>2220</v>
      </c>
      <c r="F92" s="50">
        <v>8802</v>
      </c>
      <c r="G92" s="15">
        <v>736</v>
      </c>
      <c r="H92" s="15">
        <v>574</v>
      </c>
      <c r="I92" s="50">
        <v>1040</v>
      </c>
      <c r="J92" s="50">
        <v>10046</v>
      </c>
      <c r="K92" s="50">
        <v>26163</v>
      </c>
      <c r="L92" s="50">
        <v>7580</v>
      </c>
      <c r="M92" s="50">
        <v>3447</v>
      </c>
      <c r="N92" s="50">
        <v>3211</v>
      </c>
      <c r="O92" s="50">
        <v>10247</v>
      </c>
      <c r="P92" s="50">
        <v>3516</v>
      </c>
      <c r="Q92" s="50">
        <v>1876</v>
      </c>
      <c r="R92" s="50">
        <v>10201</v>
      </c>
      <c r="S92" s="50">
        <v>6162</v>
      </c>
      <c r="T92" s="50">
        <v>4111</v>
      </c>
      <c r="U92" s="50">
        <v>3984</v>
      </c>
      <c r="V92" s="50">
        <v>-1143</v>
      </c>
      <c r="W92" s="45">
        <v>653112</v>
      </c>
      <c r="X92" s="44"/>
      <c r="Y92" s="44">
        <v>1478.3</v>
      </c>
      <c r="Z92" s="47"/>
    </row>
    <row r="93" spans="1:26" s="45" customFormat="1" ht="14.5" x14ac:dyDescent="0.35">
      <c r="A93" s="38" t="s">
        <v>715</v>
      </c>
      <c r="B93" s="39">
        <v>2017</v>
      </c>
      <c r="C93" s="40">
        <v>256284854</v>
      </c>
      <c r="D93" s="41">
        <v>75739.397501863074</v>
      </c>
      <c r="E93" s="41">
        <v>457.04931571834902</v>
      </c>
      <c r="F93" s="41">
        <v>6049.4290959357422</v>
      </c>
      <c r="G93" s="41">
        <v>625.86161498537456</v>
      </c>
      <c r="H93" s="41">
        <v>1007.8151188587357</v>
      </c>
      <c r="I93" s="41">
        <v>4536.4053016605467</v>
      </c>
      <c r="J93" s="41">
        <v>8951.1421575208042</v>
      </c>
      <c r="K93" s="41">
        <v>17464.179094184936</v>
      </c>
      <c r="L93" s="41">
        <v>1551.3033248407796</v>
      </c>
      <c r="M93" s="41">
        <v>1170.8703315134433</v>
      </c>
      <c r="N93" s="41">
        <v>4227.1009782870897</v>
      </c>
      <c r="O93" s="41">
        <v>7605.7875810658416</v>
      </c>
      <c r="P93" s="41">
        <v>3004.6349888978443</v>
      </c>
      <c r="Q93" s="41">
        <v>1593.6617051331486</v>
      </c>
      <c r="R93" s="41">
        <v>12491.394459273777</v>
      </c>
      <c r="S93" s="41">
        <v>12967.668372355958</v>
      </c>
      <c r="T93" s="41">
        <v>4643.1448690800717</v>
      </c>
      <c r="U93" s="41">
        <v>3095.214851379596</v>
      </c>
      <c r="V93" s="42">
        <v>-1639.461054200897</v>
      </c>
      <c r="W93" s="43"/>
      <c r="X93" s="44"/>
      <c r="Y93" s="44">
        <v>1323</v>
      </c>
      <c r="Z93" s="44">
        <v>165542.59960835427</v>
      </c>
    </row>
    <row r="94" spans="1:26" s="45" customFormat="1" ht="14.5" x14ac:dyDescent="0.35">
      <c r="A94" s="38" t="s">
        <v>715</v>
      </c>
      <c r="B94" s="39">
        <v>2018</v>
      </c>
      <c r="C94" s="40">
        <v>342646690</v>
      </c>
      <c r="D94" s="41">
        <v>69185.955817790265</v>
      </c>
      <c r="E94" s="41">
        <v>428.22220357235955</v>
      </c>
      <c r="F94" s="41">
        <v>6417.1505720269342</v>
      </c>
      <c r="G94" s="41">
        <v>490.06013370300337</v>
      </c>
      <c r="H94" s="41">
        <v>1034.2148060550401</v>
      </c>
      <c r="I94" s="41">
        <v>5421.0622860513286</v>
      </c>
      <c r="J94" s="41">
        <v>9480.6315692214357</v>
      </c>
      <c r="K94" s="41">
        <v>25605.007548499692</v>
      </c>
      <c r="L94" s="41">
        <v>1820.0104746909437</v>
      </c>
      <c r="M94" s="41">
        <v>1246.3587994696172</v>
      </c>
      <c r="N94" s="41">
        <v>3826.4768586506707</v>
      </c>
      <c r="O94" s="41">
        <v>8453.8749898925362</v>
      </c>
      <c r="P94" s="41">
        <v>3192.304537108736</v>
      </c>
      <c r="Q94" s="41">
        <v>1862.4812795957055</v>
      </c>
      <c r="R94" s="41">
        <v>13340.244116735877</v>
      </c>
      <c r="S94" s="41">
        <v>13954.150429172278</v>
      </c>
      <c r="T94" s="41">
        <v>4696.8730315236126</v>
      </c>
      <c r="U94" s="41">
        <v>3415.0707832162816</v>
      </c>
      <c r="V94" s="42">
        <v>-1682.7468498039641</v>
      </c>
      <c r="W94" s="43"/>
      <c r="X94" s="44"/>
      <c r="Y94" s="44">
        <v>1323</v>
      </c>
      <c r="Z94" s="44">
        <v>172187.40338717235</v>
      </c>
    </row>
    <row r="95" spans="1:26" s="45" customFormat="1" x14ac:dyDescent="0.3">
      <c r="A95" s="38" t="s">
        <v>715</v>
      </c>
      <c r="B95" s="39">
        <v>2019</v>
      </c>
      <c r="C95" s="40">
        <v>478209672</v>
      </c>
      <c r="D95" s="46"/>
      <c r="E95" s="46"/>
      <c r="F95" s="46"/>
      <c r="G95" s="46"/>
      <c r="H95" s="46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5">
        <v>1266860</v>
      </c>
      <c r="X95" s="44"/>
      <c r="Y95" s="44">
        <v>1323</v>
      </c>
      <c r="Z95" s="47">
        <v>184198</v>
      </c>
    </row>
    <row r="96" spans="1:26" s="45" customFormat="1" x14ac:dyDescent="0.3">
      <c r="A96" s="38" t="s">
        <v>715</v>
      </c>
      <c r="B96" s="39">
        <v>2020</v>
      </c>
      <c r="C96" s="40">
        <v>399505292</v>
      </c>
      <c r="D96" s="46">
        <v>88114</v>
      </c>
      <c r="E96" s="46">
        <v>477</v>
      </c>
      <c r="F96" s="46">
        <v>5926</v>
      </c>
      <c r="G96" s="46">
        <v>563</v>
      </c>
      <c r="H96" s="46">
        <v>1062</v>
      </c>
      <c r="I96" s="40">
        <v>7456</v>
      </c>
      <c r="J96" s="40">
        <v>10556</v>
      </c>
      <c r="K96" s="40">
        <v>29602</v>
      </c>
      <c r="L96" s="40">
        <v>1416</v>
      </c>
      <c r="M96" s="40">
        <v>1462</v>
      </c>
      <c r="N96" s="40">
        <v>4026</v>
      </c>
      <c r="O96" s="40">
        <v>9544</v>
      </c>
      <c r="P96" s="40">
        <v>3106</v>
      </c>
      <c r="Q96" s="40">
        <v>1771</v>
      </c>
      <c r="R96" s="40">
        <v>15100</v>
      </c>
      <c r="S96" s="40">
        <v>11293</v>
      </c>
      <c r="T96" s="40">
        <v>5183</v>
      </c>
      <c r="U96" s="40">
        <v>3226</v>
      </c>
      <c r="V96" s="40">
        <v>-1694</v>
      </c>
      <c r="W96" s="45">
        <v>1306711</v>
      </c>
      <c r="X96" s="44"/>
      <c r="Y96" s="44">
        <v>1323</v>
      </c>
      <c r="Z96" s="47">
        <v>198192</v>
      </c>
    </row>
    <row r="97" spans="1:568" s="45" customFormat="1" x14ac:dyDescent="0.3">
      <c r="A97" s="38" t="s">
        <v>715</v>
      </c>
      <c r="B97" s="39">
        <v>2021</v>
      </c>
      <c r="C97" s="40">
        <v>400297869</v>
      </c>
      <c r="D97" s="46">
        <v>91173</v>
      </c>
      <c r="E97" s="46">
        <v>570</v>
      </c>
      <c r="F97" s="46">
        <v>5662</v>
      </c>
      <c r="G97" s="46">
        <v>549</v>
      </c>
      <c r="H97" s="46">
        <v>853</v>
      </c>
      <c r="I97" s="40">
        <v>8461</v>
      </c>
      <c r="J97" s="40">
        <v>11581</v>
      </c>
      <c r="K97" s="40">
        <v>35506</v>
      </c>
      <c r="L97" s="40">
        <v>2432</v>
      </c>
      <c r="M97" s="40">
        <v>1528</v>
      </c>
      <c r="N97" s="40">
        <v>4872</v>
      </c>
      <c r="O97" s="40">
        <v>10245</v>
      </c>
      <c r="P97" s="40">
        <v>3490</v>
      </c>
      <c r="Q97" s="40">
        <v>2018</v>
      </c>
      <c r="R97" s="40">
        <v>16171</v>
      </c>
      <c r="S97" s="40">
        <v>14261</v>
      </c>
      <c r="T97" s="40">
        <v>5973</v>
      </c>
      <c r="U97" s="40">
        <v>3632</v>
      </c>
      <c r="V97" s="40">
        <v>-1665</v>
      </c>
      <c r="W97" s="45">
        <v>1319443</v>
      </c>
      <c r="X97" s="44"/>
      <c r="Y97" s="44">
        <v>1323</v>
      </c>
      <c r="Z97" s="47">
        <v>217312</v>
      </c>
    </row>
    <row r="98" spans="1:568" s="45" customFormat="1" ht="14.5" x14ac:dyDescent="0.35">
      <c r="A98" s="38" t="s">
        <v>715</v>
      </c>
      <c r="B98" s="39">
        <v>2022</v>
      </c>
      <c r="C98" s="40">
        <v>415285664</v>
      </c>
      <c r="D98" s="46">
        <v>114609</v>
      </c>
      <c r="E98" s="46">
        <v>739</v>
      </c>
      <c r="F98" s="46">
        <v>6221</v>
      </c>
      <c r="G98" s="46">
        <v>510</v>
      </c>
      <c r="H98" s="46">
        <v>791</v>
      </c>
      <c r="I98" s="40">
        <v>9483</v>
      </c>
      <c r="J98" s="40">
        <v>12776</v>
      </c>
      <c r="K98" s="40">
        <v>46066</v>
      </c>
      <c r="L98" s="40">
        <v>2681</v>
      </c>
      <c r="M98" s="40">
        <v>1687</v>
      </c>
      <c r="N98" s="40">
        <v>5742</v>
      </c>
      <c r="O98" s="40">
        <v>10996</v>
      </c>
      <c r="P98" s="40">
        <v>3661</v>
      </c>
      <c r="Q98" s="40">
        <v>2493</v>
      </c>
      <c r="R98" s="40">
        <v>16674</v>
      </c>
      <c r="S98" s="40">
        <v>14713</v>
      </c>
      <c r="T98" s="40">
        <v>5732</v>
      </c>
      <c r="U98" s="40">
        <v>3973</v>
      </c>
      <c r="V98" s="40">
        <v>-1795</v>
      </c>
      <c r="W98" s="45">
        <v>257751</v>
      </c>
      <c r="X98" s="45">
        <v>597082</v>
      </c>
      <c r="Y98" s="44">
        <v>1323</v>
      </c>
      <c r="Z98" s="47">
        <v>257751</v>
      </c>
      <c r="RV98" s="51">
        <v>41931399.799999997</v>
      </c>
      <c r="RW98" s="51">
        <v>0</v>
      </c>
      <c r="RX98" s="51">
        <v>4701965</v>
      </c>
      <c r="RY98" s="51">
        <v>228000</v>
      </c>
      <c r="RZ98" s="51">
        <v>0</v>
      </c>
      <c r="SA98" s="51">
        <v>0</v>
      </c>
      <c r="SB98" s="51">
        <v>0</v>
      </c>
      <c r="SC98" s="51">
        <v>0</v>
      </c>
      <c r="SD98" s="51">
        <v>5239300</v>
      </c>
      <c r="SE98" s="51">
        <v>0</v>
      </c>
      <c r="SF98" s="51">
        <v>0</v>
      </c>
      <c r="SG98" s="51">
        <v>0</v>
      </c>
      <c r="SH98" s="51">
        <v>100000</v>
      </c>
      <c r="SI98" s="51">
        <v>58000</v>
      </c>
      <c r="SJ98" s="51">
        <v>0</v>
      </c>
      <c r="SK98" s="51">
        <v>4324180</v>
      </c>
      <c r="SL98" s="51">
        <v>609608</v>
      </c>
      <c r="SM98" s="51">
        <v>14541730</v>
      </c>
      <c r="SN98" s="51">
        <v>0</v>
      </c>
      <c r="SO98" s="51">
        <v>0</v>
      </c>
      <c r="SP98" s="51">
        <v>0</v>
      </c>
      <c r="SQ98" s="51">
        <v>41354170</v>
      </c>
      <c r="SR98" s="51">
        <v>50023200</v>
      </c>
      <c r="SS98" s="51">
        <v>6158139</v>
      </c>
      <c r="ST98" s="51">
        <v>0</v>
      </c>
      <c r="SU98" s="51">
        <v>0</v>
      </c>
      <c r="SV98" s="51">
        <v>37607230</v>
      </c>
      <c r="SW98" s="51">
        <v>0</v>
      </c>
      <c r="SX98" s="51">
        <v>0</v>
      </c>
      <c r="SY98" s="51">
        <v>0</v>
      </c>
      <c r="SZ98" s="51">
        <v>0</v>
      </c>
      <c r="TA98" s="51">
        <v>3885000</v>
      </c>
      <c r="TB98" s="51">
        <v>351251</v>
      </c>
      <c r="TC98" s="51">
        <v>114878354.2</v>
      </c>
      <c r="TD98" s="51">
        <v>492500</v>
      </c>
      <c r="TE98" s="51">
        <v>31935210</v>
      </c>
      <c r="TF98" s="51">
        <v>1199980</v>
      </c>
      <c r="TG98" s="51">
        <v>2000145</v>
      </c>
    </row>
    <row r="99" spans="1:568" s="45" customFormat="1" ht="14.5" x14ac:dyDescent="0.35">
      <c r="A99" s="38" t="s">
        <v>715</v>
      </c>
      <c r="B99" s="39">
        <v>2023</v>
      </c>
      <c r="C99" s="40">
        <v>430273459</v>
      </c>
      <c r="D99" s="50">
        <v>107327</v>
      </c>
      <c r="E99" s="15">
        <v>640</v>
      </c>
      <c r="F99" s="50">
        <v>6695</v>
      </c>
      <c r="G99" s="15">
        <v>683</v>
      </c>
      <c r="H99" s="50">
        <v>1081</v>
      </c>
      <c r="I99" s="50">
        <v>1081</v>
      </c>
      <c r="J99" s="50">
        <v>13989</v>
      </c>
      <c r="K99" s="50">
        <v>53015</v>
      </c>
      <c r="L99" s="50">
        <v>3472</v>
      </c>
      <c r="M99" s="50">
        <v>1785</v>
      </c>
      <c r="N99" s="50">
        <v>6698</v>
      </c>
      <c r="O99" s="50">
        <v>11993</v>
      </c>
      <c r="P99" s="50">
        <v>4013</v>
      </c>
      <c r="Q99" s="50">
        <v>2954</v>
      </c>
      <c r="R99" s="50">
        <v>17143</v>
      </c>
      <c r="S99" s="50">
        <v>19584</v>
      </c>
      <c r="T99" s="50">
        <v>5587</v>
      </c>
      <c r="U99" s="50">
        <v>4339</v>
      </c>
      <c r="V99" s="50">
        <v>-2502</v>
      </c>
      <c r="W99" s="45">
        <v>1344907</v>
      </c>
      <c r="X99" s="44"/>
      <c r="Y99" s="44">
        <v>1323</v>
      </c>
      <c r="Z99" s="47"/>
      <c r="RV99" s="51">
        <v>55435660</v>
      </c>
      <c r="RW99" s="51">
        <v>0</v>
      </c>
      <c r="RX99" s="51">
        <v>14090059</v>
      </c>
      <c r="RY99" s="51">
        <v>542100</v>
      </c>
      <c r="RZ99" s="51">
        <v>0</v>
      </c>
      <c r="SA99" s="51">
        <v>0</v>
      </c>
      <c r="SB99" s="51">
        <v>0</v>
      </c>
      <c r="SC99" s="51">
        <v>181360</v>
      </c>
      <c r="SD99" s="51">
        <v>22622950</v>
      </c>
      <c r="SE99" s="51">
        <v>0</v>
      </c>
      <c r="SF99" s="51">
        <v>0</v>
      </c>
      <c r="SG99" s="51">
        <v>0</v>
      </c>
      <c r="SH99" s="51">
        <v>679000</v>
      </c>
      <c r="SI99" s="51">
        <v>108000</v>
      </c>
      <c r="SJ99" s="51">
        <v>0</v>
      </c>
      <c r="SK99" s="51">
        <v>6446580</v>
      </c>
      <c r="SL99" s="51">
        <v>2199900</v>
      </c>
      <c r="SM99" s="51">
        <v>22234359</v>
      </c>
      <c r="SN99" s="51">
        <v>0</v>
      </c>
      <c r="SO99" s="51">
        <v>0</v>
      </c>
      <c r="SP99" s="51">
        <v>0</v>
      </c>
      <c r="SQ99" s="51">
        <v>45928830</v>
      </c>
      <c r="SR99" s="51">
        <v>46662600</v>
      </c>
      <c r="SS99" s="51">
        <v>12957572</v>
      </c>
      <c r="ST99" s="51">
        <v>0</v>
      </c>
      <c r="SU99" s="51">
        <v>0</v>
      </c>
      <c r="SV99" s="51">
        <v>54236545.060000002</v>
      </c>
      <c r="SW99" s="51">
        <v>0</v>
      </c>
      <c r="SX99" s="51">
        <v>90000</v>
      </c>
      <c r="SY99" s="51">
        <v>0</v>
      </c>
      <c r="SZ99" s="51">
        <v>0</v>
      </c>
      <c r="TA99" s="51">
        <v>9826000</v>
      </c>
      <c r="TB99" s="51">
        <v>514228</v>
      </c>
      <c r="TC99" s="51">
        <v>135679258</v>
      </c>
      <c r="TD99" s="51">
        <v>698850</v>
      </c>
      <c r="TE99" s="51">
        <v>34264820</v>
      </c>
      <c r="TF99" s="51">
        <v>1824880</v>
      </c>
      <c r="TG99" s="51">
        <v>0</v>
      </c>
    </row>
    <row r="100" spans="1:568" s="45" customFormat="1" ht="14.5" x14ac:dyDescent="0.35">
      <c r="A100" s="38" t="s">
        <v>715</v>
      </c>
      <c r="B100" s="39">
        <v>2024</v>
      </c>
      <c r="C100" s="49"/>
      <c r="D100" s="50"/>
      <c r="E100" s="15"/>
      <c r="F100" s="50"/>
      <c r="G100" s="15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X100" s="44"/>
      <c r="Y100" s="44"/>
      <c r="Z100" s="47"/>
      <c r="RV100" s="64">
        <v>90723861.599999994</v>
      </c>
      <c r="RW100" s="64">
        <v>0</v>
      </c>
      <c r="RX100" s="64">
        <v>10802801.16</v>
      </c>
      <c r="RY100" s="64">
        <v>896160</v>
      </c>
      <c r="RZ100" s="64">
        <v>60492</v>
      </c>
      <c r="SA100" s="64">
        <v>396000</v>
      </c>
      <c r="SB100" s="64">
        <v>97032</v>
      </c>
      <c r="SC100" s="64">
        <v>156541.20000000001</v>
      </c>
      <c r="SD100" s="64">
        <v>35036784</v>
      </c>
      <c r="SE100" s="64">
        <v>2371201.2000000002</v>
      </c>
      <c r="SF100" s="64">
        <v>247236</v>
      </c>
      <c r="SG100" s="64">
        <v>0</v>
      </c>
      <c r="SH100" s="64">
        <v>468582</v>
      </c>
      <c r="SI100" s="64">
        <v>24960</v>
      </c>
      <c r="SJ100" s="64">
        <v>2400</v>
      </c>
      <c r="SK100" s="64">
        <v>3189000</v>
      </c>
      <c r="SL100" s="64">
        <v>2266455.6</v>
      </c>
      <c r="SM100" s="64">
        <v>23414263.199999999</v>
      </c>
      <c r="SN100" s="64">
        <v>29564.400000000001</v>
      </c>
      <c r="SO100" s="64">
        <v>0</v>
      </c>
      <c r="SP100" s="64">
        <v>557136</v>
      </c>
      <c r="SQ100" s="64">
        <v>38749761.600000001</v>
      </c>
      <c r="SR100" s="64">
        <v>23550781.199999999</v>
      </c>
      <c r="SS100" s="64">
        <v>7690017.5999999996</v>
      </c>
      <c r="ST100" s="64">
        <v>13937163.6</v>
      </c>
      <c r="SU100" s="64">
        <v>378040.8</v>
      </c>
      <c r="SV100" s="64">
        <v>50492633.399999999</v>
      </c>
      <c r="SW100" s="64">
        <v>227095.2</v>
      </c>
      <c r="SX100" s="64">
        <v>3882660</v>
      </c>
      <c r="SY100" s="64">
        <v>24126480</v>
      </c>
      <c r="SZ100" s="64">
        <v>30840</v>
      </c>
      <c r="TA100" s="64">
        <v>9724800</v>
      </c>
      <c r="TB100" s="64">
        <v>343766.4</v>
      </c>
      <c r="TC100" s="64">
        <v>164390605.19999999</v>
      </c>
      <c r="TD100" s="64">
        <v>1109520</v>
      </c>
      <c r="TE100" s="64">
        <v>22359840</v>
      </c>
      <c r="TF100" s="64">
        <v>2399064</v>
      </c>
      <c r="TG100" s="64">
        <v>0</v>
      </c>
    </row>
    <row r="101" spans="1:568" s="45" customFormat="1" ht="14.5" x14ac:dyDescent="0.35">
      <c r="A101" s="38" t="s">
        <v>716</v>
      </c>
      <c r="B101" s="39">
        <v>2017</v>
      </c>
      <c r="C101" s="40">
        <v>874901775</v>
      </c>
      <c r="D101" s="41">
        <v>28355.049983413221</v>
      </c>
      <c r="E101" s="41">
        <v>1820.5615941143783</v>
      </c>
      <c r="F101" s="41">
        <v>25889.314092700755</v>
      </c>
      <c r="G101" s="41">
        <v>5234.5447428527923</v>
      </c>
      <c r="H101" s="41">
        <v>1632.6038226085398</v>
      </c>
      <c r="I101" s="41">
        <v>11490.687897115216</v>
      </c>
      <c r="J101" s="41">
        <v>15807.588938471074</v>
      </c>
      <c r="K101" s="41">
        <v>29810.651126589535</v>
      </c>
      <c r="L101" s="41">
        <v>3143.830094677327</v>
      </c>
      <c r="M101" s="41">
        <v>3707.2742283583816</v>
      </c>
      <c r="N101" s="41">
        <v>10221.364455668014</v>
      </c>
      <c r="O101" s="41">
        <v>24859.672072087327</v>
      </c>
      <c r="P101" s="41">
        <v>4702.4148290458597</v>
      </c>
      <c r="Q101" s="41">
        <v>2412.3398642257257</v>
      </c>
      <c r="R101" s="41">
        <v>10765.079725621275</v>
      </c>
      <c r="S101" s="41">
        <v>11203.124589137784</v>
      </c>
      <c r="T101" s="41">
        <v>3707.081325968561</v>
      </c>
      <c r="U101" s="41">
        <v>5651.8466261761914</v>
      </c>
      <c r="V101" s="42">
        <v>-4138.547600201653</v>
      </c>
      <c r="W101" s="43"/>
      <c r="X101" s="44"/>
      <c r="Y101" s="44">
        <v>2085.4</v>
      </c>
      <c r="Z101" s="44">
        <v>196276.48240863028</v>
      </c>
    </row>
    <row r="102" spans="1:568" s="45" customFormat="1" ht="14.5" x14ac:dyDescent="0.35">
      <c r="A102" s="38" t="s">
        <v>716</v>
      </c>
      <c r="B102" s="39">
        <v>2018</v>
      </c>
      <c r="C102" s="40">
        <v>842816398</v>
      </c>
      <c r="D102" s="41">
        <v>34225.955582646311</v>
      </c>
      <c r="E102" s="41">
        <v>1705.7347440626922</v>
      </c>
      <c r="F102" s="41">
        <v>26292.079748145828</v>
      </c>
      <c r="G102" s="41">
        <v>5202.1357575126267</v>
      </c>
      <c r="H102" s="41">
        <v>1819.5371662111631</v>
      </c>
      <c r="I102" s="41">
        <v>13755.867934743084</v>
      </c>
      <c r="J102" s="41">
        <v>16729.342529029407</v>
      </c>
      <c r="K102" s="41">
        <v>34865.58430992128</v>
      </c>
      <c r="L102" s="41">
        <v>3688.384864093955</v>
      </c>
      <c r="M102" s="41">
        <v>3946.2899795137164</v>
      </c>
      <c r="N102" s="41">
        <v>10222.878123190018</v>
      </c>
      <c r="O102" s="41">
        <v>27665.880029951008</v>
      </c>
      <c r="P102" s="41">
        <v>4996.1277325193514</v>
      </c>
      <c r="Q102" s="41">
        <v>2819.2544394278962</v>
      </c>
      <c r="R102" s="41">
        <v>10455.899218625666</v>
      </c>
      <c r="S102" s="41">
        <v>11596.053245139781</v>
      </c>
      <c r="T102" s="41">
        <v>5358.0127802404522</v>
      </c>
      <c r="U102" s="41">
        <v>6242.5285507989447</v>
      </c>
      <c r="V102" s="42">
        <v>-4503.8772586360183</v>
      </c>
      <c r="W102" s="43"/>
      <c r="X102" s="44"/>
      <c r="Y102" s="44">
        <v>2085.4</v>
      </c>
      <c r="Z102" s="44">
        <v>217083.66947713713</v>
      </c>
    </row>
    <row r="103" spans="1:568" s="45" customFormat="1" x14ac:dyDescent="0.3">
      <c r="A103" s="38" t="s">
        <v>716</v>
      </c>
      <c r="B103" s="39">
        <v>2019</v>
      </c>
      <c r="C103" s="40">
        <v>804847881</v>
      </c>
      <c r="D103" s="46"/>
      <c r="E103" s="46"/>
      <c r="F103" s="46"/>
      <c r="G103" s="46"/>
      <c r="H103" s="46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5">
        <v>1155574</v>
      </c>
      <c r="X103" s="44"/>
      <c r="Y103" s="44">
        <v>2085.4</v>
      </c>
      <c r="Z103" s="47">
        <v>235001</v>
      </c>
      <c r="TH103" s="55">
        <v>119443117</v>
      </c>
      <c r="TI103" s="55">
        <v>19026443</v>
      </c>
      <c r="TJ103" s="55">
        <v>174848181</v>
      </c>
      <c r="TK103" s="55">
        <v>112960070</v>
      </c>
      <c r="TL103" s="55">
        <v>46265742</v>
      </c>
      <c r="TM103" s="55">
        <v>8899200</v>
      </c>
      <c r="TN103" s="55">
        <v>40520980</v>
      </c>
      <c r="TO103" s="55">
        <v>330000</v>
      </c>
      <c r="TP103" s="55">
        <v>74888949</v>
      </c>
      <c r="TQ103" s="55">
        <v>3595950</v>
      </c>
      <c r="TR103" s="55">
        <v>3226454</v>
      </c>
      <c r="TS103" s="55">
        <v>26082340</v>
      </c>
      <c r="TT103" s="55">
        <v>80179841</v>
      </c>
      <c r="TU103" s="55">
        <v>1817250</v>
      </c>
      <c r="TV103" s="55">
        <v>12955516</v>
      </c>
      <c r="TW103" s="55">
        <v>8557220</v>
      </c>
    </row>
    <row r="104" spans="1:568" s="45" customFormat="1" x14ac:dyDescent="0.3">
      <c r="A104" s="38" t="s">
        <v>716</v>
      </c>
      <c r="B104" s="39">
        <v>2020</v>
      </c>
      <c r="C104" s="40">
        <v>931267781</v>
      </c>
      <c r="D104" s="46">
        <v>39415</v>
      </c>
      <c r="E104" s="46">
        <v>1901</v>
      </c>
      <c r="F104" s="46">
        <v>28262</v>
      </c>
      <c r="G104" s="46">
        <v>7022</v>
      </c>
      <c r="H104" s="46">
        <v>1911</v>
      </c>
      <c r="I104" s="40">
        <v>18911</v>
      </c>
      <c r="J104" s="40">
        <v>18593</v>
      </c>
      <c r="K104" s="40">
        <v>37728</v>
      </c>
      <c r="L104" s="40">
        <v>2871</v>
      </c>
      <c r="M104" s="40">
        <v>4630</v>
      </c>
      <c r="N104" s="40">
        <v>11181</v>
      </c>
      <c r="O104" s="40">
        <v>31275</v>
      </c>
      <c r="P104" s="40">
        <v>4860</v>
      </c>
      <c r="Q104" s="40">
        <v>2681</v>
      </c>
      <c r="R104" s="40">
        <v>15391</v>
      </c>
      <c r="S104" s="40">
        <v>12704</v>
      </c>
      <c r="T104" s="40">
        <v>6568</v>
      </c>
      <c r="U104" s="40">
        <v>5996</v>
      </c>
      <c r="V104" s="40">
        <v>-4578</v>
      </c>
      <c r="W104" s="45">
        <v>1186160</v>
      </c>
      <c r="X104" s="44"/>
      <c r="Y104" s="44">
        <v>2085.4</v>
      </c>
      <c r="Z104" s="47">
        <v>247324</v>
      </c>
      <c r="TH104" s="55">
        <v>146785343</v>
      </c>
      <c r="TI104" s="55">
        <v>18464867</v>
      </c>
      <c r="TJ104" s="55">
        <v>135399092</v>
      </c>
      <c r="TK104" s="55">
        <v>71032445</v>
      </c>
      <c r="TL104" s="55">
        <v>43669050</v>
      </c>
      <c r="TM104" s="55">
        <v>10654580</v>
      </c>
      <c r="TN104" s="55">
        <v>31385150</v>
      </c>
      <c r="TO104" s="55">
        <v>270500</v>
      </c>
      <c r="TP104" s="55">
        <v>47194353</v>
      </c>
      <c r="TQ104" s="55">
        <v>520240</v>
      </c>
      <c r="TR104" s="55">
        <v>13208977</v>
      </c>
      <c r="TS104" s="55">
        <v>34256534</v>
      </c>
      <c r="TT104" s="55">
        <v>59204174</v>
      </c>
      <c r="TU104" s="55">
        <v>53500</v>
      </c>
      <c r="TV104" s="55">
        <v>11367277</v>
      </c>
      <c r="TW104" s="55">
        <v>2038350</v>
      </c>
    </row>
    <row r="105" spans="1:568" s="45" customFormat="1" x14ac:dyDescent="0.3">
      <c r="A105" s="38" t="s">
        <v>716</v>
      </c>
      <c r="B105" s="39">
        <v>2021</v>
      </c>
      <c r="C105" s="40">
        <v>1199145032</v>
      </c>
      <c r="D105" s="46">
        <v>39205</v>
      </c>
      <c r="E105" s="46">
        <v>2271</v>
      </c>
      <c r="F105" s="46">
        <v>31294</v>
      </c>
      <c r="G105" s="46">
        <v>6574</v>
      </c>
      <c r="H105" s="46">
        <v>2099</v>
      </c>
      <c r="I105" s="40">
        <v>21410</v>
      </c>
      <c r="J105" s="40">
        <v>20397</v>
      </c>
      <c r="K105" s="40">
        <v>46321</v>
      </c>
      <c r="L105" s="40">
        <v>4930</v>
      </c>
      <c r="M105" s="40">
        <v>4837</v>
      </c>
      <c r="N105" s="40">
        <v>12978</v>
      </c>
      <c r="O105" s="40">
        <v>33908</v>
      </c>
      <c r="P105" s="40">
        <v>5462</v>
      </c>
      <c r="Q105" s="40">
        <v>3055</v>
      </c>
      <c r="R105" s="40">
        <v>13241</v>
      </c>
      <c r="S105" s="40">
        <v>16053</v>
      </c>
      <c r="T105" s="40">
        <v>5744</v>
      </c>
      <c r="U105" s="40">
        <v>6718</v>
      </c>
      <c r="V105" s="40">
        <v>-4258</v>
      </c>
      <c r="W105" s="45">
        <v>1206931</v>
      </c>
      <c r="X105" s="44"/>
      <c r="Y105" s="44">
        <v>2085.4</v>
      </c>
      <c r="Z105" s="47">
        <v>272238</v>
      </c>
      <c r="TH105" s="55">
        <v>121015751</v>
      </c>
      <c r="TI105" s="55">
        <v>23497511</v>
      </c>
      <c r="TJ105" s="55">
        <v>172096722</v>
      </c>
      <c r="TK105" s="55">
        <v>92497620</v>
      </c>
      <c r="TL105" s="55">
        <v>44427580</v>
      </c>
      <c r="TM105" s="55">
        <v>9817200</v>
      </c>
      <c r="TN105" s="55">
        <v>31222620</v>
      </c>
      <c r="TO105" s="55">
        <v>237550</v>
      </c>
      <c r="TP105" s="55">
        <v>67251558</v>
      </c>
      <c r="TQ105" s="55">
        <v>1504150</v>
      </c>
      <c r="TR105" s="55">
        <v>9117307</v>
      </c>
      <c r="TS105" s="55">
        <v>8515505</v>
      </c>
      <c r="TT105" s="55">
        <v>112796485</v>
      </c>
      <c r="TU105" s="55">
        <v>0</v>
      </c>
      <c r="TV105" s="55">
        <v>7825501</v>
      </c>
      <c r="TW105" s="55">
        <v>2840900</v>
      </c>
    </row>
    <row r="106" spans="1:568" s="45" customFormat="1" x14ac:dyDescent="0.3">
      <c r="A106" s="38" t="s">
        <v>716</v>
      </c>
      <c r="B106" s="39">
        <v>2022</v>
      </c>
      <c r="C106" s="40">
        <v>1153464305</v>
      </c>
      <c r="D106" s="46">
        <v>51868</v>
      </c>
      <c r="E106" s="46">
        <v>2943</v>
      </c>
      <c r="F106" s="46">
        <v>35763</v>
      </c>
      <c r="G106" s="46">
        <v>5602</v>
      </c>
      <c r="H106" s="46">
        <v>2270</v>
      </c>
      <c r="I106" s="40">
        <v>24044</v>
      </c>
      <c r="J106" s="40">
        <v>22519</v>
      </c>
      <c r="K106" s="40">
        <v>58925</v>
      </c>
      <c r="L106" s="40">
        <v>5434</v>
      </c>
      <c r="M106" s="40">
        <v>5342</v>
      </c>
      <c r="N106" s="40">
        <v>15158</v>
      </c>
      <c r="O106" s="40">
        <v>36094</v>
      </c>
      <c r="P106" s="40">
        <v>5729</v>
      </c>
      <c r="Q106" s="40">
        <v>3774</v>
      </c>
      <c r="R106" s="40">
        <v>12180</v>
      </c>
      <c r="S106" s="40">
        <v>16663</v>
      </c>
      <c r="T106" s="40">
        <v>5645</v>
      </c>
      <c r="U106" s="40">
        <v>7277</v>
      </c>
      <c r="V106" s="40">
        <v>-4578</v>
      </c>
      <c r="W106" s="45">
        <v>1227702</v>
      </c>
      <c r="X106" s="45">
        <v>517559</v>
      </c>
      <c r="Y106" s="44">
        <v>2085.4</v>
      </c>
      <c r="Z106" s="47">
        <v>312651</v>
      </c>
      <c r="TH106" s="55">
        <v>99579416</v>
      </c>
      <c r="TI106" s="55">
        <v>19774954</v>
      </c>
      <c r="TJ106" s="55">
        <v>167632633</v>
      </c>
      <c r="TK106" s="55">
        <v>69722851</v>
      </c>
      <c r="TL106" s="55">
        <v>30525567</v>
      </c>
      <c r="TM106" s="55">
        <v>7842600</v>
      </c>
      <c r="TN106" s="55">
        <v>27768712</v>
      </c>
      <c r="TO106" s="55">
        <v>148001</v>
      </c>
      <c r="TP106" s="55">
        <v>55118711</v>
      </c>
      <c r="TQ106" s="55">
        <v>3566430</v>
      </c>
      <c r="TR106" s="55">
        <v>11738450</v>
      </c>
      <c r="TS106" s="55">
        <v>1828300</v>
      </c>
      <c r="TT106" s="55">
        <v>141465907</v>
      </c>
      <c r="TU106" s="55">
        <v>0</v>
      </c>
      <c r="TV106" s="55">
        <v>23511125</v>
      </c>
      <c r="TW106" s="55">
        <v>4257180</v>
      </c>
    </row>
    <row r="107" spans="1:568" s="45" customFormat="1" ht="14.5" x14ac:dyDescent="0.35">
      <c r="A107" s="38" t="s">
        <v>716</v>
      </c>
      <c r="B107" s="39">
        <v>2023</v>
      </c>
      <c r="C107" s="40">
        <v>1107783578</v>
      </c>
      <c r="D107" s="50">
        <v>52525</v>
      </c>
      <c r="E107" s="50">
        <v>2549</v>
      </c>
      <c r="F107" s="50">
        <v>39534</v>
      </c>
      <c r="G107" s="50">
        <v>7620</v>
      </c>
      <c r="H107" s="50">
        <v>2257</v>
      </c>
      <c r="I107" s="50">
        <v>25308</v>
      </c>
      <c r="J107" s="50">
        <v>24669</v>
      </c>
      <c r="K107" s="50">
        <v>65481</v>
      </c>
      <c r="L107" s="50">
        <v>7036</v>
      </c>
      <c r="M107" s="50">
        <v>5650</v>
      </c>
      <c r="N107" s="50">
        <v>17649</v>
      </c>
      <c r="O107" s="50">
        <v>39929</v>
      </c>
      <c r="P107" s="50">
        <v>6280</v>
      </c>
      <c r="Q107" s="50">
        <v>4471</v>
      </c>
      <c r="R107" s="50">
        <v>17405</v>
      </c>
      <c r="S107" s="50">
        <v>17761</v>
      </c>
      <c r="T107" s="50">
        <v>6043</v>
      </c>
      <c r="U107" s="50">
        <v>7900</v>
      </c>
      <c r="V107" s="50">
        <v>-6804</v>
      </c>
      <c r="W107" s="45">
        <v>1248474</v>
      </c>
      <c r="X107" s="44"/>
      <c r="Y107" s="44">
        <v>2085.4</v>
      </c>
      <c r="Z107" s="47"/>
      <c r="TH107" s="55">
        <v>198067281</v>
      </c>
      <c r="TI107" s="55">
        <v>17454298</v>
      </c>
      <c r="TJ107" s="55">
        <v>168340819.09999999</v>
      </c>
      <c r="TK107" s="55">
        <v>47911991</v>
      </c>
      <c r="TL107" s="55">
        <v>19691588</v>
      </c>
      <c r="TM107" s="55">
        <v>4508700</v>
      </c>
      <c r="TN107" s="55">
        <v>14382037</v>
      </c>
      <c r="TO107" s="55">
        <v>1000</v>
      </c>
      <c r="TP107" s="55">
        <v>54122238</v>
      </c>
      <c r="TQ107" s="55">
        <v>1560653</v>
      </c>
      <c r="TR107" s="55">
        <v>36735841.450000003</v>
      </c>
      <c r="TS107" s="55">
        <v>2103650</v>
      </c>
      <c r="TT107" s="55">
        <v>134630604</v>
      </c>
      <c r="TU107" s="55">
        <v>0</v>
      </c>
      <c r="TV107" s="55">
        <v>9681575</v>
      </c>
      <c r="TW107" s="55">
        <v>6478092</v>
      </c>
    </row>
    <row r="108" spans="1:568" s="45" customFormat="1" ht="14.5" x14ac:dyDescent="0.35">
      <c r="A108" s="38" t="s">
        <v>717</v>
      </c>
      <c r="B108" s="39">
        <v>2017</v>
      </c>
      <c r="C108" s="40">
        <v>335122477</v>
      </c>
      <c r="D108" s="41">
        <v>27004.970934543093</v>
      </c>
      <c r="E108" s="41">
        <v>637.49315467182737</v>
      </c>
      <c r="F108" s="41">
        <v>3786.1242905343488</v>
      </c>
      <c r="G108" s="41">
        <v>225.52046854405387</v>
      </c>
      <c r="H108" s="41">
        <v>926.73219817692245</v>
      </c>
      <c r="I108" s="41">
        <v>2205.522630956028</v>
      </c>
      <c r="J108" s="41">
        <v>5534.7631264222437</v>
      </c>
      <c r="K108" s="41">
        <v>11827.535649977675</v>
      </c>
      <c r="L108" s="41">
        <v>1191.1405948777453</v>
      </c>
      <c r="M108" s="41">
        <v>2437.6116198273585</v>
      </c>
      <c r="N108" s="41">
        <v>2142.3189929567138</v>
      </c>
      <c r="O108" s="41">
        <v>5838.9690706418605</v>
      </c>
      <c r="P108" s="41">
        <v>2204.5018232075754</v>
      </c>
      <c r="Q108" s="41">
        <v>1167.4406159985851</v>
      </c>
      <c r="R108" s="41">
        <v>10928.210504311923</v>
      </c>
      <c r="S108" s="41">
        <v>10429.731013380051</v>
      </c>
      <c r="T108" s="41">
        <v>3137.9288557697155</v>
      </c>
      <c r="U108" s="41">
        <v>3621.9150574166965</v>
      </c>
      <c r="V108" s="42">
        <v>-856.53505813451352</v>
      </c>
      <c r="W108" s="43"/>
      <c r="X108" s="44"/>
      <c r="Y108" s="44">
        <v>30429.5</v>
      </c>
      <c r="Z108" s="44">
        <v>94391.895544079918</v>
      </c>
    </row>
    <row r="109" spans="1:568" s="45" customFormat="1" ht="14.5" x14ac:dyDescent="0.35">
      <c r="A109" s="38" t="s">
        <v>717</v>
      </c>
      <c r="B109" s="39">
        <v>2018</v>
      </c>
      <c r="C109" s="40">
        <v>440523923</v>
      </c>
      <c r="D109" s="41">
        <v>33946.191032052426</v>
      </c>
      <c r="E109" s="41">
        <v>629.48424110327232</v>
      </c>
      <c r="F109" s="41">
        <v>3925.7951211231057</v>
      </c>
      <c r="G109" s="41">
        <v>95.921664194540455</v>
      </c>
      <c r="H109" s="41">
        <v>923.97782316442567</v>
      </c>
      <c r="I109" s="41">
        <v>2629.5090303351312</v>
      </c>
      <c r="J109" s="41">
        <v>5742.1603769922131</v>
      </c>
      <c r="K109" s="41">
        <v>16341.804480552688</v>
      </c>
      <c r="L109" s="41">
        <v>1397.4625882592004</v>
      </c>
      <c r="M109" s="41">
        <v>2595.314102098906</v>
      </c>
      <c r="N109" s="41">
        <v>1546.5808081096632</v>
      </c>
      <c r="O109" s="41">
        <v>6489.8897580817938</v>
      </c>
      <c r="P109" s="41">
        <v>2342.1950414254761</v>
      </c>
      <c r="Q109" s="41">
        <v>1364.3650251076219</v>
      </c>
      <c r="R109" s="41">
        <v>12032.725031169713</v>
      </c>
      <c r="S109" s="41">
        <v>11569.95366789187</v>
      </c>
      <c r="T109" s="41">
        <v>4080.7858940340789</v>
      </c>
      <c r="U109" s="41">
        <v>3998.1749577507358</v>
      </c>
      <c r="V109" s="42">
        <v>-747.87772692740498</v>
      </c>
      <c r="W109" s="43"/>
      <c r="X109" s="44"/>
      <c r="Y109" s="44">
        <v>30429.5</v>
      </c>
      <c r="Z109" s="44">
        <v>110904.41291651945</v>
      </c>
    </row>
    <row r="110" spans="1:568" s="45" customFormat="1" x14ac:dyDescent="0.3">
      <c r="A110" s="38" t="s">
        <v>717</v>
      </c>
      <c r="B110" s="39">
        <v>2019</v>
      </c>
      <c r="C110" s="40">
        <v>408285164</v>
      </c>
      <c r="D110" s="46"/>
      <c r="E110" s="46"/>
      <c r="F110" s="46"/>
      <c r="G110" s="46"/>
      <c r="H110" s="46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5">
        <v>1136187</v>
      </c>
      <c r="X110" s="44"/>
      <c r="Y110" s="44">
        <v>30429.5</v>
      </c>
      <c r="Z110" s="47">
        <v>141244</v>
      </c>
    </row>
    <row r="111" spans="1:568" s="45" customFormat="1" ht="14" x14ac:dyDescent="0.3">
      <c r="A111" s="38" t="s">
        <v>717</v>
      </c>
      <c r="B111" s="39">
        <v>2020</v>
      </c>
      <c r="C111" s="40">
        <v>314343058</v>
      </c>
      <c r="D111" s="46">
        <v>67935</v>
      </c>
      <c r="E111" s="46">
        <v>746</v>
      </c>
      <c r="F111" s="46">
        <v>4213</v>
      </c>
      <c r="G111" s="46">
        <v>109</v>
      </c>
      <c r="H111" s="46">
        <v>1032</v>
      </c>
      <c r="I111" s="40">
        <v>3619</v>
      </c>
      <c r="J111" s="40">
        <v>6092</v>
      </c>
      <c r="K111" s="40">
        <v>18918</v>
      </c>
      <c r="L111" s="40">
        <v>1088</v>
      </c>
      <c r="M111" s="40">
        <v>3043</v>
      </c>
      <c r="N111" s="40">
        <v>1628</v>
      </c>
      <c r="O111" s="40">
        <v>7326</v>
      </c>
      <c r="P111" s="40">
        <v>2279</v>
      </c>
      <c r="Q111" s="40">
        <v>1298</v>
      </c>
      <c r="R111" s="40">
        <v>14836</v>
      </c>
      <c r="S111" s="40">
        <v>11940</v>
      </c>
      <c r="T111" s="40">
        <v>5166</v>
      </c>
      <c r="U111" s="40">
        <v>3807</v>
      </c>
      <c r="V111" s="40">
        <v>-730</v>
      </c>
      <c r="W111" s="45">
        <v>1186046</v>
      </c>
      <c r="X111" s="44"/>
      <c r="Y111" s="44">
        <v>30429.5</v>
      </c>
      <c r="Z111" s="47">
        <v>154345</v>
      </c>
      <c r="TX111" s="65">
        <v>3711094</v>
      </c>
      <c r="TY111" s="65">
        <v>1862000</v>
      </c>
      <c r="TZ111" s="65">
        <v>2121000</v>
      </c>
      <c r="UA111" s="65">
        <v>0</v>
      </c>
      <c r="UB111" s="65">
        <v>21217987</v>
      </c>
      <c r="UC111" s="65">
        <v>1690450</v>
      </c>
      <c r="UD111" s="65">
        <v>123442236.20000002</v>
      </c>
      <c r="UE111" s="65">
        <v>57500</v>
      </c>
      <c r="UF111" s="65">
        <v>12801591</v>
      </c>
      <c r="UG111" s="65">
        <v>10183090</v>
      </c>
      <c r="UH111" s="65">
        <v>9871630</v>
      </c>
      <c r="UI111" s="65">
        <v>271644</v>
      </c>
      <c r="UJ111" s="65">
        <v>23553519</v>
      </c>
      <c r="UK111" s="65">
        <v>0</v>
      </c>
      <c r="UL111" s="65">
        <v>75301057.400000006</v>
      </c>
      <c r="UM111" s="65">
        <v>6022800</v>
      </c>
      <c r="UN111" s="65">
        <v>2086500</v>
      </c>
      <c r="UO111" s="65">
        <v>16307700</v>
      </c>
      <c r="UP111" s="65">
        <v>12939180</v>
      </c>
      <c r="UQ111" s="65">
        <v>11771466</v>
      </c>
      <c r="UR111" s="65">
        <v>13703450</v>
      </c>
      <c r="US111" s="65">
        <v>7867100</v>
      </c>
      <c r="UT111" s="65">
        <v>2643900</v>
      </c>
      <c r="UU111" s="65">
        <v>25800</v>
      </c>
      <c r="UV111" s="65">
        <v>2214895</v>
      </c>
    </row>
    <row r="112" spans="1:568" s="45" customFormat="1" x14ac:dyDescent="0.3">
      <c r="A112" s="38" t="s">
        <v>717</v>
      </c>
      <c r="B112" s="39">
        <v>2021</v>
      </c>
      <c r="C112" s="40">
        <v>361271341</v>
      </c>
      <c r="D112" s="46">
        <v>43259</v>
      </c>
      <c r="E112" s="46">
        <v>901</v>
      </c>
      <c r="F112" s="46">
        <v>4224</v>
      </c>
      <c r="G112" s="46">
        <v>107</v>
      </c>
      <c r="H112" s="46">
        <v>1169</v>
      </c>
      <c r="I112" s="40">
        <v>4119</v>
      </c>
      <c r="J112" s="40">
        <v>6666</v>
      </c>
      <c r="K112" s="40">
        <v>23237</v>
      </c>
      <c r="L112" s="40">
        <v>1868</v>
      </c>
      <c r="M112" s="40">
        <v>3180</v>
      </c>
      <c r="N112" s="40">
        <v>1923</v>
      </c>
      <c r="O112" s="40">
        <v>7863</v>
      </c>
      <c r="P112" s="40">
        <v>2561</v>
      </c>
      <c r="Q112" s="40">
        <v>1478</v>
      </c>
      <c r="R112" s="40">
        <v>15924</v>
      </c>
      <c r="S112" s="40">
        <v>15064</v>
      </c>
      <c r="T112" s="40">
        <v>6277</v>
      </c>
      <c r="U112" s="40">
        <v>4275</v>
      </c>
      <c r="V112" s="40">
        <v>-828</v>
      </c>
      <c r="W112" s="45">
        <v>1200627</v>
      </c>
      <c r="X112" s="44"/>
      <c r="Y112" s="44">
        <v>30429.5</v>
      </c>
      <c r="Z112" s="47">
        <v>143268</v>
      </c>
      <c r="TX112" s="66">
        <v>1551405</v>
      </c>
      <c r="TY112" s="66">
        <v>2234240</v>
      </c>
      <c r="TZ112" s="66">
        <v>303000</v>
      </c>
      <c r="UA112" s="66">
        <v>0</v>
      </c>
      <c r="UB112" s="66">
        <v>5010500</v>
      </c>
      <c r="UC112" s="66">
        <v>2212685</v>
      </c>
      <c r="UD112" s="66">
        <v>173884235.15000001</v>
      </c>
      <c r="UE112" s="66">
        <v>54000</v>
      </c>
      <c r="UF112" s="66">
        <v>28094519</v>
      </c>
      <c r="UG112" s="66">
        <v>9696142</v>
      </c>
      <c r="UH112" s="66">
        <v>10836950</v>
      </c>
      <c r="UI112" s="66">
        <v>648767</v>
      </c>
      <c r="UJ112" s="66">
        <v>148130</v>
      </c>
      <c r="UK112" s="66">
        <v>10499413</v>
      </c>
      <c r="UL112" s="66">
        <v>66499731.5</v>
      </c>
      <c r="UM112" s="66">
        <v>6726080</v>
      </c>
      <c r="UN112" s="66">
        <v>2292157</v>
      </c>
      <c r="UO112" s="66">
        <v>12425760</v>
      </c>
      <c r="UP112" s="66">
        <v>13841783</v>
      </c>
      <c r="UQ112" s="66">
        <v>7168250</v>
      </c>
      <c r="UR112" s="66">
        <v>11860550</v>
      </c>
      <c r="US112" s="66">
        <v>15003850</v>
      </c>
      <c r="UT112" s="66">
        <v>1633700</v>
      </c>
      <c r="UU112" s="66">
        <v>24800</v>
      </c>
      <c r="UV112" s="66">
        <v>331382</v>
      </c>
    </row>
    <row r="113" spans="1:568" s="45" customFormat="1" x14ac:dyDescent="0.3">
      <c r="A113" s="38" t="s">
        <v>717</v>
      </c>
      <c r="B113" s="39">
        <v>2022</v>
      </c>
      <c r="C113" s="40">
        <v>473138520</v>
      </c>
      <c r="D113" s="46">
        <v>49298</v>
      </c>
      <c r="E113" s="46">
        <v>1169</v>
      </c>
      <c r="F113" s="46">
        <v>4166</v>
      </c>
      <c r="G113" s="46">
        <v>99</v>
      </c>
      <c r="H113" s="46">
        <v>1289</v>
      </c>
      <c r="I113" s="40">
        <v>4605</v>
      </c>
      <c r="J113" s="40">
        <v>7506</v>
      </c>
      <c r="K113" s="40">
        <v>29977</v>
      </c>
      <c r="L113" s="40">
        <v>2059</v>
      </c>
      <c r="M113" s="40">
        <v>3512</v>
      </c>
      <c r="N113" s="40">
        <v>2275</v>
      </c>
      <c r="O113" s="40">
        <v>8441</v>
      </c>
      <c r="P113" s="40">
        <v>2686</v>
      </c>
      <c r="Q113" s="40">
        <v>1826</v>
      </c>
      <c r="R113" s="40">
        <v>17344</v>
      </c>
      <c r="S113" s="40">
        <v>15618</v>
      </c>
      <c r="T113" s="40">
        <v>6045</v>
      </c>
      <c r="U113" s="40">
        <v>4656</v>
      </c>
      <c r="V113" s="40">
        <v>-902</v>
      </c>
      <c r="W113" s="45">
        <v>1215209</v>
      </c>
      <c r="X113" s="45">
        <v>387930</v>
      </c>
      <c r="Y113" s="44">
        <v>30429.5</v>
      </c>
      <c r="Z113" s="47">
        <v>161668</v>
      </c>
      <c r="TX113" s="67">
        <v>1013767</v>
      </c>
      <c r="TY113" s="67">
        <v>169500</v>
      </c>
      <c r="TZ113" s="67">
        <v>0</v>
      </c>
      <c r="UA113" s="67">
        <v>0</v>
      </c>
      <c r="UB113" s="67">
        <v>1897435</v>
      </c>
      <c r="UC113" s="67">
        <v>232470</v>
      </c>
      <c r="UD113" s="67">
        <v>174060751.92000002</v>
      </c>
      <c r="UE113" s="67">
        <v>91000</v>
      </c>
      <c r="UF113" s="67">
        <v>11415421</v>
      </c>
      <c r="UG113" s="67">
        <v>9248001</v>
      </c>
      <c r="UH113" s="67">
        <v>8027000</v>
      </c>
      <c r="UI113" s="67">
        <v>454812</v>
      </c>
      <c r="UJ113" s="67">
        <v>228690</v>
      </c>
      <c r="UK113" s="67">
        <v>2753433</v>
      </c>
      <c r="UL113" s="67">
        <v>53857888</v>
      </c>
      <c r="UM113" s="67">
        <v>8644450</v>
      </c>
      <c r="UN113" s="67">
        <v>2534000</v>
      </c>
      <c r="UO113" s="67">
        <v>11242780</v>
      </c>
      <c r="UP113" s="67">
        <v>12156640</v>
      </c>
      <c r="UQ113" s="67">
        <v>6629976</v>
      </c>
      <c r="UR113" s="67">
        <v>13201402</v>
      </c>
      <c r="US113" s="67">
        <v>15272900</v>
      </c>
      <c r="UT113" s="67">
        <v>3265950</v>
      </c>
      <c r="UU113" s="67">
        <v>14400</v>
      </c>
      <c r="UV113" s="67">
        <v>17800</v>
      </c>
    </row>
    <row r="114" spans="1:568" s="45" customFormat="1" ht="14.5" x14ac:dyDescent="0.35">
      <c r="A114" s="38" t="s">
        <v>717</v>
      </c>
      <c r="B114" s="39">
        <v>2023</v>
      </c>
      <c r="C114" s="40">
        <v>585005699</v>
      </c>
      <c r="D114" s="50">
        <v>57378</v>
      </c>
      <c r="E114" s="50">
        <v>1012</v>
      </c>
      <c r="F114" s="50">
        <v>4630</v>
      </c>
      <c r="G114" s="15">
        <v>351</v>
      </c>
      <c r="H114" s="50">
        <v>1052</v>
      </c>
      <c r="I114" s="50">
        <v>4854</v>
      </c>
      <c r="J114" s="50">
        <v>8332</v>
      </c>
      <c r="K114" s="50">
        <v>34722</v>
      </c>
      <c r="L114" s="50">
        <v>2666</v>
      </c>
      <c r="M114" s="50">
        <v>3714</v>
      </c>
      <c r="N114" s="50">
        <v>2664</v>
      </c>
      <c r="O114" s="50">
        <v>9204</v>
      </c>
      <c r="P114" s="50">
        <v>2944</v>
      </c>
      <c r="Q114" s="50">
        <v>2164</v>
      </c>
      <c r="R114" s="50">
        <v>18053</v>
      </c>
      <c r="S114" s="50">
        <v>15255</v>
      </c>
      <c r="T114" s="50">
        <v>6559</v>
      </c>
      <c r="U114" s="50">
        <v>5070</v>
      </c>
      <c r="V114" s="50">
        <v>-1092</v>
      </c>
      <c r="W114" s="45">
        <v>1229790</v>
      </c>
      <c r="X114" s="44"/>
      <c r="Y114" s="44">
        <v>30429.5</v>
      </c>
      <c r="Z114" s="47"/>
      <c r="TX114" s="68">
        <v>9712833</v>
      </c>
      <c r="TY114" s="68">
        <v>157650</v>
      </c>
      <c r="TZ114" s="68">
        <v>0</v>
      </c>
      <c r="UA114" s="68">
        <v>3769650</v>
      </c>
      <c r="UB114" s="68">
        <v>1874894</v>
      </c>
      <c r="UC114" s="68">
        <v>800800</v>
      </c>
      <c r="UD114" s="68">
        <v>295089969.19999999</v>
      </c>
      <c r="UE114" s="68">
        <v>192115</v>
      </c>
      <c r="UF114" s="68">
        <v>13323141</v>
      </c>
      <c r="UG114" s="68">
        <v>8282515</v>
      </c>
      <c r="UH114" s="68">
        <v>17739800</v>
      </c>
      <c r="UI114" s="68">
        <v>740585</v>
      </c>
      <c r="UJ114" s="68">
        <v>35343</v>
      </c>
      <c r="UK114" s="68">
        <v>0</v>
      </c>
      <c r="UL114" s="68">
        <v>90304971</v>
      </c>
      <c r="UM114" s="68">
        <v>9839295</v>
      </c>
      <c r="UN114" s="68">
        <v>2586240</v>
      </c>
      <c r="UO114" s="68">
        <v>13654550</v>
      </c>
      <c r="UP114" s="68">
        <v>15236242</v>
      </c>
      <c r="UQ114" s="68">
        <v>13704102</v>
      </c>
      <c r="UR114" s="68">
        <v>15163786</v>
      </c>
      <c r="US114" s="68">
        <v>14272700</v>
      </c>
      <c r="UT114" s="68">
        <v>2377545</v>
      </c>
      <c r="UU114" s="68">
        <v>14000</v>
      </c>
      <c r="UV114" s="68">
        <v>177790</v>
      </c>
    </row>
    <row r="115" spans="1:568" s="45" customFormat="1" ht="14.5" x14ac:dyDescent="0.35">
      <c r="A115" s="38" t="s">
        <v>718</v>
      </c>
      <c r="B115" s="39">
        <v>2017</v>
      </c>
      <c r="C115" s="40">
        <v>276295129</v>
      </c>
      <c r="D115" s="41">
        <v>29310.060707084398</v>
      </c>
      <c r="E115" s="41">
        <v>8877.8035205035103</v>
      </c>
      <c r="F115" s="41">
        <v>6040.5434538901782</v>
      </c>
      <c r="G115" s="41">
        <v>368.99082344449465</v>
      </c>
      <c r="H115" s="41">
        <v>620.37796191099676</v>
      </c>
      <c r="I115" s="41">
        <v>3095.3174824885245</v>
      </c>
      <c r="J115" s="41">
        <v>1624.9656689394365</v>
      </c>
      <c r="K115" s="41">
        <v>7136.9096312872207</v>
      </c>
      <c r="L115" s="41">
        <v>2994.1238996926941</v>
      </c>
      <c r="M115" s="41">
        <v>1817.5407930935091</v>
      </c>
      <c r="N115" s="41">
        <v>1268.3885354232395</v>
      </c>
      <c r="O115" s="41">
        <v>7796.772155119007</v>
      </c>
      <c r="P115" s="41">
        <v>1564.5694219210161</v>
      </c>
      <c r="Q115" s="41">
        <v>750.35567322944098</v>
      </c>
      <c r="R115" s="41">
        <v>8309.4436605134124</v>
      </c>
      <c r="S115" s="41">
        <v>4383.6457431402923</v>
      </c>
      <c r="T115" s="41">
        <v>2330.9376897946572</v>
      </c>
      <c r="U115" s="41">
        <v>2739.2369906934423</v>
      </c>
      <c r="V115" s="42">
        <v>-474.44212793110995</v>
      </c>
      <c r="W115" s="43"/>
      <c r="X115" s="44"/>
      <c r="Y115" s="44">
        <v>8267.1</v>
      </c>
      <c r="Z115" s="44">
        <v>90555.541684238386</v>
      </c>
    </row>
    <row r="116" spans="1:568" s="45" customFormat="1" ht="14.5" x14ac:dyDescent="0.35">
      <c r="A116" s="38" t="s">
        <v>718</v>
      </c>
      <c r="B116" s="39">
        <v>2018</v>
      </c>
      <c r="C116" s="40">
        <v>315025181</v>
      </c>
      <c r="D116" s="41">
        <v>31325.232701348479</v>
      </c>
      <c r="E116" s="41">
        <v>9786.5841634575791</v>
      </c>
      <c r="F116" s="41">
        <v>6412.9641841044804</v>
      </c>
      <c r="G116" s="41">
        <v>392.94918108728308</v>
      </c>
      <c r="H116" s="41">
        <v>594.83924335137192</v>
      </c>
      <c r="I116" s="41">
        <v>3696.8708072239087</v>
      </c>
      <c r="J116" s="41">
        <v>1685.4708979060949</v>
      </c>
      <c r="K116" s="41">
        <v>9066.6262704221554</v>
      </c>
      <c r="L116" s="41">
        <v>3512.747489613289</v>
      </c>
      <c r="M116" s="41">
        <v>1934.7214630837825</v>
      </c>
      <c r="N116" s="41">
        <v>953.42690568266823</v>
      </c>
      <c r="O116" s="41">
        <v>8668.5816728977934</v>
      </c>
      <c r="P116" s="41">
        <v>1662.2924523860902</v>
      </c>
      <c r="Q116" s="41">
        <v>876.92600627026127</v>
      </c>
      <c r="R116" s="41">
        <v>9322.0755467288072</v>
      </c>
      <c r="S116" s="41">
        <v>4923.1335089182503</v>
      </c>
      <c r="T116" s="41">
        <v>2696.5675226513322</v>
      </c>
      <c r="U116" s="41">
        <v>3023.7774481806096</v>
      </c>
      <c r="V116" s="42">
        <v>-455.46041499242745</v>
      </c>
      <c r="W116" s="43"/>
      <c r="X116" s="44"/>
      <c r="Y116" s="44">
        <v>8267.1</v>
      </c>
      <c r="Z116" s="44">
        <v>100080.32705032184</v>
      </c>
    </row>
    <row r="117" spans="1:568" s="45" customFormat="1" x14ac:dyDescent="0.3">
      <c r="A117" s="38" t="s">
        <v>718</v>
      </c>
      <c r="B117" s="39">
        <v>2019</v>
      </c>
      <c r="C117" s="40">
        <v>254445870</v>
      </c>
      <c r="D117" s="46"/>
      <c r="E117" s="46"/>
      <c r="F117" s="46"/>
      <c r="G117" s="46"/>
      <c r="H117" s="46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5">
        <v>866820</v>
      </c>
      <c r="X117" s="44"/>
      <c r="Y117" s="44">
        <v>8267.1</v>
      </c>
      <c r="Z117" s="47">
        <v>108204</v>
      </c>
    </row>
    <row r="118" spans="1:568" s="45" customFormat="1" x14ac:dyDescent="0.3">
      <c r="A118" s="38" t="s">
        <v>718</v>
      </c>
      <c r="B118" s="39">
        <v>2020</v>
      </c>
      <c r="C118" s="40">
        <v>253005838</v>
      </c>
      <c r="D118" s="46">
        <v>41603</v>
      </c>
      <c r="E118" s="46">
        <v>10216</v>
      </c>
      <c r="F118" s="46">
        <v>6696</v>
      </c>
      <c r="G118" s="46">
        <v>454</v>
      </c>
      <c r="H118" s="46">
        <v>595</v>
      </c>
      <c r="I118" s="40">
        <v>5086</v>
      </c>
      <c r="J118" s="40">
        <v>1787</v>
      </c>
      <c r="K118" s="40">
        <v>10025</v>
      </c>
      <c r="L118" s="40">
        <v>2734</v>
      </c>
      <c r="M118" s="40">
        <v>2270</v>
      </c>
      <c r="N118" s="40">
        <v>1210</v>
      </c>
      <c r="O118" s="40">
        <v>9789</v>
      </c>
      <c r="P118" s="40">
        <v>1617</v>
      </c>
      <c r="Q118" s="40">
        <v>834</v>
      </c>
      <c r="R118" s="40">
        <v>12771</v>
      </c>
      <c r="S118" s="40">
        <v>5395</v>
      </c>
      <c r="T118" s="40">
        <v>3508</v>
      </c>
      <c r="U118" s="40">
        <v>2879</v>
      </c>
      <c r="V118" s="40">
        <v>-466</v>
      </c>
      <c r="W118" s="45">
        <v>879076</v>
      </c>
      <c r="X118" s="44"/>
      <c r="Y118" s="44">
        <v>8267.1</v>
      </c>
      <c r="Z118" s="47">
        <v>119001</v>
      </c>
    </row>
    <row r="119" spans="1:568" s="45" customFormat="1" x14ac:dyDescent="0.3">
      <c r="A119" s="38" t="s">
        <v>718</v>
      </c>
      <c r="B119" s="39">
        <v>2021</v>
      </c>
      <c r="C119" s="40">
        <v>303282767</v>
      </c>
      <c r="D119" s="46">
        <v>43623</v>
      </c>
      <c r="E119" s="46">
        <v>12902</v>
      </c>
      <c r="F119" s="46">
        <v>6891</v>
      </c>
      <c r="G119" s="46">
        <v>442</v>
      </c>
      <c r="H119" s="46">
        <v>649</v>
      </c>
      <c r="I119" s="40">
        <v>5775</v>
      </c>
      <c r="J119" s="40">
        <v>1956</v>
      </c>
      <c r="K119" s="40">
        <v>13392</v>
      </c>
      <c r="L119" s="40">
        <v>4695</v>
      </c>
      <c r="M119" s="40">
        <v>2371</v>
      </c>
      <c r="N119" s="40">
        <v>1445</v>
      </c>
      <c r="O119" s="40">
        <v>10532</v>
      </c>
      <c r="P119" s="40">
        <v>1817</v>
      </c>
      <c r="Q119" s="40">
        <v>950</v>
      </c>
      <c r="R119" s="40">
        <v>13861</v>
      </c>
      <c r="S119" s="40">
        <v>6739</v>
      </c>
      <c r="T119" s="40">
        <v>4109</v>
      </c>
      <c r="U119" s="40">
        <v>3233</v>
      </c>
      <c r="V119" s="40">
        <v>-517</v>
      </c>
      <c r="W119" s="45">
        <v>900872</v>
      </c>
      <c r="X119" s="44"/>
      <c r="Y119" s="44">
        <v>8267.1</v>
      </c>
      <c r="Z119" s="47">
        <v>134865</v>
      </c>
    </row>
    <row r="120" spans="1:568" s="45" customFormat="1" x14ac:dyDescent="0.3">
      <c r="A120" s="38" t="s">
        <v>718</v>
      </c>
      <c r="B120" s="39">
        <v>2022</v>
      </c>
      <c r="C120" s="40">
        <v>392952872</v>
      </c>
      <c r="D120" s="46">
        <v>47492</v>
      </c>
      <c r="E120" s="46">
        <v>16388</v>
      </c>
      <c r="F120" s="46">
        <v>7028</v>
      </c>
      <c r="G120" s="46">
        <v>411</v>
      </c>
      <c r="H120" s="46">
        <v>712</v>
      </c>
      <c r="I120" s="40">
        <v>6468</v>
      </c>
      <c r="J120" s="40">
        <v>2203</v>
      </c>
      <c r="K120" s="40">
        <v>17155</v>
      </c>
      <c r="L120" s="40">
        <v>5175</v>
      </c>
      <c r="M120" s="40">
        <v>2619</v>
      </c>
      <c r="N120" s="40">
        <v>1702</v>
      </c>
      <c r="O120" s="40">
        <v>11283</v>
      </c>
      <c r="P120" s="40">
        <v>1906</v>
      </c>
      <c r="Q120" s="40">
        <v>1174</v>
      </c>
      <c r="R120" s="40">
        <v>15544</v>
      </c>
      <c r="S120" s="40">
        <v>7093</v>
      </c>
      <c r="T120" s="40">
        <v>4045</v>
      </c>
      <c r="U120" s="40">
        <v>3521</v>
      </c>
      <c r="V120" s="40">
        <v>-556</v>
      </c>
      <c r="W120" s="45">
        <v>922668</v>
      </c>
      <c r="X120" s="45">
        <v>284539</v>
      </c>
      <c r="Y120" s="44">
        <v>8267.1</v>
      </c>
      <c r="Z120" s="47">
        <v>151362</v>
      </c>
    </row>
    <row r="121" spans="1:568" s="45" customFormat="1" ht="14.5" x14ac:dyDescent="0.35">
      <c r="A121" s="38" t="s">
        <v>718</v>
      </c>
      <c r="B121" s="39">
        <v>2023</v>
      </c>
      <c r="C121" s="40">
        <v>482622977</v>
      </c>
      <c r="D121" s="45">
        <v>53129</v>
      </c>
      <c r="E121" s="45">
        <v>13800</v>
      </c>
      <c r="F121" s="45">
        <v>7674</v>
      </c>
      <c r="G121" s="45">
        <v>2275</v>
      </c>
      <c r="H121" s="45">
        <v>673</v>
      </c>
      <c r="I121" s="45">
        <v>6815</v>
      </c>
      <c r="J121" s="45">
        <v>2445</v>
      </c>
      <c r="K121" s="45">
        <v>19895</v>
      </c>
      <c r="L121" s="45">
        <v>6701</v>
      </c>
      <c r="M121" s="45">
        <v>2770</v>
      </c>
      <c r="N121" s="50">
        <v>2007</v>
      </c>
      <c r="O121" s="50">
        <v>12346</v>
      </c>
      <c r="P121" s="50">
        <v>2090</v>
      </c>
      <c r="Q121" s="50">
        <v>1391</v>
      </c>
      <c r="R121" s="50">
        <v>15355</v>
      </c>
      <c r="S121" s="50">
        <v>8613</v>
      </c>
      <c r="T121" s="50">
        <v>4173</v>
      </c>
      <c r="U121" s="50">
        <v>3835</v>
      </c>
      <c r="V121" s="15">
        <v>-691</v>
      </c>
      <c r="W121" s="45">
        <v>944464</v>
      </c>
      <c r="X121" s="44"/>
      <c r="Y121" s="44">
        <v>8267.1</v>
      </c>
      <c r="Z121" s="47"/>
    </row>
    <row r="122" spans="1:568" s="45" customFormat="1" ht="14.5" x14ac:dyDescent="0.35">
      <c r="A122" s="38" t="s">
        <v>719</v>
      </c>
      <c r="B122" s="39">
        <v>2017</v>
      </c>
      <c r="C122" s="40">
        <v>413328186</v>
      </c>
      <c r="D122" s="41">
        <v>19175.305809034187</v>
      </c>
      <c r="E122" s="41">
        <v>114.34303449272893</v>
      </c>
      <c r="F122" s="41">
        <v>2208.2804041351369</v>
      </c>
      <c r="G122" s="41">
        <v>324.60699963065457</v>
      </c>
      <c r="H122" s="41">
        <v>1107.0329161922382</v>
      </c>
      <c r="I122" s="41">
        <v>5732.2262768565697</v>
      </c>
      <c r="J122" s="41">
        <v>8115.4426982106643</v>
      </c>
      <c r="K122" s="41">
        <v>9000.6386113215267</v>
      </c>
      <c r="L122" s="41">
        <v>1403.7667848559217</v>
      </c>
      <c r="M122" s="41">
        <v>1893.5714294787945</v>
      </c>
      <c r="N122" s="41">
        <v>2324.9242845934305</v>
      </c>
      <c r="O122" s="41">
        <v>4993.0374775898654</v>
      </c>
      <c r="P122" s="41">
        <v>1534.0964504311801</v>
      </c>
      <c r="Q122" s="41">
        <v>1145.5933094725822</v>
      </c>
      <c r="R122" s="41">
        <v>7087.8696893945807</v>
      </c>
      <c r="S122" s="41">
        <v>3925.6549651544956</v>
      </c>
      <c r="T122" s="41">
        <v>814.89288092890934</v>
      </c>
      <c r="U122" s="41">
        <v>2085.7684892728844</v>
      </c>
      <c r="V122" s="42">
        <v>-915.92300035069059</v>
      </c>
      <c r="W122" s="43"/>
      <c r="X122" s="44"/>
      <c r="Y122" s="44">
        <v>9532.2000000000007</v>
      </c>
      <c r="Z122" s="44">
        <v>72071.129510695653</v>
      </c>
    </row>
    <row r="123" spans="1:568" s="45" customFormat="1" ht="14.5" x14ac:dyDescent="0.35">
      <c r="A123" s="38" t="s">
        <v>719</v>
      </c>
      <c r="B123" s="39">
        <v>2018</v>
      </c>
      <c r="C123" s="40">
        <v>815790157</v>
      </c>
      <c r="D123" s="41">
        <v>22436.948888765419</v>
      </c>
      <c r="E123" s="41">
        <v>112.90652733385599</v>
      </c>
      <c r="F123" s="41">
        <v>2300.1162984997045</v>
      </c>
      <c r="G123" s="41">
        <v>376.95469306802181</v>
      </c>
      <c r="H123" s="41">
        <v>1217.8678094704894</v>
      </c>
      <c r="I123" s="41">
        <v>6862.8734050611474</v>
      </c>
      <c r="J123" s="41">
        <v>8641.2973620053417</v>
      </c>
      <c r="K123" s="41">
        <v>10717.685457402074</v>
      </c>
      <c r="L123" s="41">
        <v>1646.9185694056509</v>
      </c>
      <c r="M123" s="41">
        <v>2015.6539541868656</v>
      </c>
      <c r="N123" s="41">
        <v>2079.4943972380433</v>
      </c>
      <c r="O123" s="41">
        <v>5550.6100347114298</v>
      </c>
      <c r="P123" s="41">
        <v>1629.9161386223104</v>
      </c>
      <c r="Q123" s="41">
        <v>1338.832505073284</v>
      </c>
      <c r="R123" s="41">
        <v>7194.169224994137</v>
      </c>
      <c r="S123" s="41">
        <v>4389.8198487909649</v>
      </c>
      <c r="T123" s="41">
        <v>848.13880397684068</v>
      </c>
      <c r="U123" s="41">
        <v>2303.231322200847</v>
      </c>
      <c r="V123" s="42">
        <v>-730.21390727970856</v>
      </c>
      <c r="W123" s="43"/>
      <c r="X123" s="44"/>
      <c r="Y123" s="44">
        <v>9532.2000000000007</v>
      </c>
      <c r="Z123" s="44">
        <v>80933.221333526715</v>
      </c>
    </row>
    <row r="124" spans="1:568" s="45" customFormat="1" x14ac:dyDescent="0.3">
      <c r="A124" s="38" t="s">
        <v>719</v>
      </c>
      <c r="B124" s="39">
        <v>2019</v>
      </c>
      <c r="C124" s="40">
        <v>727957755</v>
      </c>
      <c r="D124" s="46"/>
      <c r="E124" s="46"/>
      <c r="F124" s="46"/>
      <c r="G124" s="46"/>
      <c r="H124" s="46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5">
        <v>518560</v>
      </c>
      <c r="X124" s="44"/>
      <c r="Y124" s="44">
        <v>9532.2000000000007</v>
      </c>
      <c r="Z124" s="47">
        <v>88434</v>
      </c>
    </row>
    <row r="125" spans="1:568" s="45" customFormat="1" x14ac:dyDescent="0.3">
      <c r="A125" s="38" t="s">
        <v>719</v>
      </c>
      <c r="B125" s="39">
        <v>2020</v>
      </c>
      <c r="C125" s="40">
        <v>840396633</v>
      </c>
      <c r="D125" s="46">
        <v>27236</v>
      </c>
      <c r="E125" s="46">
        <v>134</v>
      </c>
      <c r="F125" s="46">
        <v>2520</v>
      </c>
      <c r="G125" s="46">
        <v>435</v>
      </c>
      <c r="H125" s="46">
        <v>1243</v>
      </c>
      <c r="I125" s="40">
        <v>9435</v>
      </c>
      <c r="J125" s="40">
        <v>9736</v>
      </c>
      <c r="K125" s="40">
        <v>12439</v>
      </c>
      <c r="L125" s="40">
        <v>1282</v>
      </c>
      <c r="M125" s="40">
        <v>2365</v>
      </c>
      <c r="N125" s="40">
        <v>2279</v>
      </c>
      <c r="O125" s="40">
        <v>6267</v>
      </c>
      <c r="P125" s="40">
        <v>1586</v>
      </c>
      <c r="Q125" s="40">
        <v>1273</v>
      </c>
      <c r="R125" s="40">
        <v>9199</v>
      </c>
      <c r="S125" s="40">
        <v>4552</v>
      </c>
      <c r="T125" s="40">
        <v>1168</v>
      </c>
      <c r="U125" s="40">
        <v>2205</v>
      </c>
      <c r="V125" s="40">
        <v>-716</v>
      </c>
      <c r="W125" s="45">
        <v>528509</v>
      </c>
      <c r="X125" s="44"/>
      <c r="Y125" s="44">
        <v>9532.2000000000007</v>
      </c>
      <c r="Z125" s="47">
        <v>94639</v>
      </c>
    </row>
    <row r="126" spans="1:568" s="45" customFormat="1" x14ac:dyDescent="0.3">
      <c r="A126" s="38" t="s">
        <v>719</v>
      </c>
      <c r="B126" s="39">
        <v>2021</v>
      </c>
      <c r="C126" s="40">
        <v>902354455</v>
      </c>
      <c r="D126" s="46">
        <v>23401</v>
      </c>
      <c r="E126" s="46">
        <v>162</v>
      </c>
      <c r="F126" s="46">
        <v>2691</v>
      </c>
      <c r="G126" s="46">
        <v>425</v>
      </c>
      <c r="H126" s="46">
        <v>1454</v>
      </c>
      <c r="I126" s="40">
        <v>10680</v>
      </c>
      <c r="J126" s="40">
        <v>10689</v>
      </c>
      <c r="K126" s="40">
        <v>15515</v>
      </c>
      <c r="L126" s="40">
        <v>2201</v>
      </c>
      <c r="M126" s="40">
        <v>2470</v>
      </c>
      <c r="N126" s="40">
        <v>2754</v>
      </c>
      <c r="O126" s="40">
        <v>6736</v>
      </c>
      <c r="P126" s="40">
        <v>1782</v>
      </c>
      <c r="Q126" s="40">
        <v>1451</v>
      </c>
      <c r="R126" s="40">
        <v>9142</v>
      </c>
      <c r="S126" s="40">
        <v>5770</v>
      </c>
      <c r="T126" s="40">
        <v>1364</v>
      </c>
      <c r="U126" s="40">
        <v>2472</v>
      </c>
      <c r="V126" s="40">
        <v>-958</v>
      </c>
      <c r="W126" s="45">
        <v>539414</v>
      </c>
      <c r="X126" s="44"/>
      <c r="Y126" s="44">
        <v>9532.2000000000007</v>
      </c>
      <c r="Z126" s="47">
        <v>100202</v>
      </c>
    </row>
    <row r="127" spans="1:568" s="45" customFormat="1" x14ac:dyDescent="0.3">
      <c r="A127" s="38" t="s">
        <v>719</v>
      </c>
      <c r="B127" s="39">
        <v>2022</v>
      </c>
      <c r="C127" s="40">
        <v>980163461</v>
      </c>
      <c r="D127" s="46">
        <v>31743</v>
      </c>
      <c r="E127" s="46">
        <v>210</v>
      </c>
      <c r="F127" s="46">
        <v>2933</v>
      </c>
      <c r="G127" s="46">
        <v>394</v>
      </c>
      <c r="H127" s="46">
        <v>1390</v>
      </c>
      <c r="I127" s="40">
        <v>11995</v>
      </c>
      <c r="J127" s="40">
        <v>11734</v>
      </c>
      <c r="K127" s="40">
        <v>20021</v>
      </c>
      <c r="L127" s="40">
        <v>2426</v>
      </c>
      <c r="M127" s="40">
        <v>2729</v>
      </c>
      <c r="N127" s="40">
        <v>3240</v>
      </c>
      <c r="O127" s="40">
        <v>7222</v>
      </c>
      <c r="P127" s="40">
        <v>1869</v>
      </c>
      <c r="Q127" s="40">
        <v>1792</v>
      </c>
      <c r="R127" s="40">
        <v>10853</v>
      </c>
      <c r="S127" s="40">
        <v>6011</v>
      </c>
      <c r="T127" s="40">
        <v>1365</v>
      </c>
      <c r="U127" s="40">
        <v>2684</v>
      </c>
      <c r="V127" s="40">
        <v>-1034</v>
      </c>
      <c r="W127" s="45">
        <v>550318</v>
      </c>
      <c r="X127" s="45">
        <v>248307</v>
      </c>
      <c r="Y127" s="44">
        <v>9532.2000000000007</v>
      </c>
      <c r="Z127" s="47">
        <v>119575</v>
      </c>
    </row>
    <row r="128" spans="1:568" s="45" customFormat="1" ht="14.5" x14ac:dyDescent="0.35">
      <c r="A128" s="38" t="s">
        <v>719</v>
      </c>
      <c r="B128" s="39">
        <v>2023</v>
      </c>
      <c r="C128" s="40">
        <v>1057972467</v>
      </c>
      <c r="D128" s="50">
        <v>31591</v>
      </c>
      <c r="E128" s="15">
        <v>182</v>
      </c>
      <c r="F128" s="50">
        <v>3315</v>
      </c>
      <c r="G128" s="15">
        <v>572</v>
      </c>
      <c r="H128" s="50">
        <v>1352</v>
      </c>
      <c r="I128" s="50">
        <v>12626</v>
      </c>
      <c r="J128" s="50">
        <v>12804</v>
      </c>
      <c r="K128" s="50">
        <v>23295</v>
      </c>
      <c r="L128" s="50">
        <v>3142</v>
      </c>
      <c r="M128" s="50">
        <v>2886</v>
      </c>
      <c r="N128" s="50">
        <v>3814</v>
      </c>
      <c r="O128" s="50">
        <v>7891</v>
      </c>
      <c r="P128" s="50">
        <v>2049</v>
      </c>
      <c r="Q128" s="50">
        <v>2123</v>
      </c>
      <c r="R128" s="50">
        <v>10803</v>
      </c>
      <c r="S128" s="50">
        <v>6356</v>
      </c>
      <c r="T128" s="50">
        <v>1476</v>
      </c>
      <c r="U128" s="50">
        <v>2917</v>
      </c>
      <c r="V128" s="50">
        <v>-1062</v>
      </c>
      <c r="W128" s="45">
        <v>561223</v>
      </c>
      <c r="X128" s="44"/>
      <c r="Y128" s="44">
        <v>9532.2000000000007</v>
      </c>
      <c r="Z128" s="47"/>
    </row>
    <row r="129" spans="1:647" s="45" customFormat="1" ht="14.5" x14ac:dyDescent="0.35">
      <c r="A129" s="38" t="s">
        <v>720</v>
      </c>
      <c r="B129" s="39">
        <v>2017</v>
      </c>
      <c r="C129" s="40">
        <v>55286688</v>
      </c>
      <c r="D129" s="41">
        <v>7388.9284976925583</v>
      </c>
      <c r="E129" s="41">
        <v>139.98726058199236</v>
      </c>
      <c r="F129" s="41">
        <v>1079.1854987125123</v>
      </c>
      <c r="G129" s="41">
        <v>75.118565830768304</v>
      </c>
      <c r="H129" s="41">
        <v>97.666302039997589</v>
      </c>
      <c r="I129" s="41">
        <v>105.09139759449005</v>
      </c>
      <c r="J129" s="41">
        <v>2219.5518454472062</v>
      </c>
      <c r="K129" s="41">
        <v>5294.4428215505923</v>
      </c>
      <c r="L129" s="41">
        <v>195.26894997995828</v>
      </c>
      <c r="M129" s="41">
        <v>593.12626666497545</v>
      </c>
      <c r="N129" s="41">
        <v>446.08976848666009</v>
      </c>
      <c r="O129" s="41">
        <v>1624.2679877333667</v>
      </c>
      <c r="P129" s="41">
        <v>353.48646928209939</v>
      </c>
      <c r="Q129" s="41">
        <v>220.85640779013724</v>
      </c>
      <c r="R129" s="41">
        <v>3177.6477318293264</v>
      </c>
      <c r="S129" s="41">
        <v>716.01558294919334</v>
      </c>
      <c r="T129" s="41">
        <v>1082.0294263577373</v>
      </c>
      <c r="U129" s="41">
        <v>647.7258972936454</v>
      </c>
      <c r="V129" s="42">
        <v>-196.17601433694509</v>
      </c>
      <c r="W129" s="43"/>
      <c r="X129" s="44"/>
      <c r="Y129" s="44">
        <v>6253.3</v>
      </c>
      <c r="Z129" s="44">
        <v>25260.310663480264</v>
      </c>
      <c r="UW129" s="69">
        <v>0</v>
      </c>
      <c r="UX129" s="69">
        <v>0</v>
      </c>
      <c r="UY129" s="69">
        <v>1242261.8</v>
      </c>
      <c r="UZ129" s="69">
        <v>1064277</v>
      </c>
      <c r="VA129" s="69">
        <v>0</v>
      </c>
      <c r="VB129" s="69">
        <v>568210</v>
      </c>
      <c r="VC129" s="69">
        <v>17803087.5</v>
      </c>
      <c r="VD129" s="69">
        <v>2206521.85</v>
      </c>
      <c r="VE129" s="69">
        <v>50000</v>
      </c>
      <c r="VF129" s="69">
        <v>0</v>
      </c>
      <c r="VG129" s="69">
        <v>0</v>
      </c>
      <c r="VH129" s="69">
        <v>0</v>
      </c>
      <c r="VI129" s="69">
        <v>0</v>
      </c>
      <c r="VJ129" s="69">
        <v>0</v>
      </c>
      <c r="VK129" s="69">
        <v>0</v>
      </c>
      <c r="VL129" s="69">
        <v>0</v>
      </c>
      <c r="VM129" s="69">
        <v>738364.7</v>
      </c>
      <c r="VN129" s="69">
        <v>0</v>
      </c>
      <c r="VO129" s="69">
        <v>1153400</v>
      </c>
      <c r="VP129" s="69">
        <v>866315.35</v>
      </c>
      <c r="VQ129" s="69">
        <v>0</v>
      </c>
      <c r="VR129" s="69">
        <v>2188236</v>
      </c>
      <c r="VS129" s="69">
        <v>154205</v>
      </c>
      <c r="VT129" s="69">
        <v>0</v>
      </c>
      <c r="VU129" s="69">
        <v>2362346</v>
      </c>
      <c r="VV129" s="69">
        <v>0</v>
      </c>
      <c r="VW129" s="69">
        <v>0</v>
      </c>
      <c r="VX129" s="69">
        <v>100760</v>
      </c>
      <c r="VY129" s="69">
        <v>15656</v>
      </c>
      <c r="VZ129" s="69">
        <v>24150</v>
      </c>
      <c r="WA129" s="69">
        <v>0</v>
      </c>
      <c r="WB129" s="69">
        <v>0</v>
      </c>
      <c r="WC129" s="69">
        <v>0</v>
      </c>
      <c r="WD129" s="69">
        <v>0</v>
      </c>
      <c r="WE129" s="69">
        <v>0</v>
      </c>
      <c r="WF129" s="69">
        <v>0</v>
      </c>
      <c r="WG129" s="69">
        <v>0</v>
      </c>
      <c r="WH129" s="69">
        <v>142975</v>
      </c>
      <c r="WI129" s="69">
        <v>328475</v>
      </c>
      <c r="WJ129" s="69">
        <v>0</v>
      </c>
      <c r="WK129" s="69">
        <v>0</v>
      </c>
      <c r="WL129" s="69">
        <v>0</v>
      </c>
      <c r="WM129" s="69">
        <v>60000</v>
      </c>
      <c r="WN129" s="69">
        <v>0</v>
      </c>
      <c r="WO129" s="69">
        <v>0</v>
      </c>
      <c r="WP129" s="69">
        <v>0</v>
      </c>
      <c r="WQ129" s="69">
        <v>116700</v>
      </c>
      <c r="WR129" s="69">
        <v>0</v>
      </c>
      <c r="WS129" s="69">
        <v>0</v>
      </c>
      <c r="WT129" s="69">
        <v>476715</v>
      </c>
      <c r="WU129" s="69">
        <v>0</v>
      </c>
      <c r="WV129" s="69">
        <v>36045</v>
      </c>
      <c r="WW129" s="69">
        <v>7048541.5800000001</v>
      </c>
      <c r="WX129" s="69">
        <v>0</v>
      </c>
      <c r="WY129" s="69">
        <v>0</v>
      </c>
      <c r="WZ129" s="69">
        <v>0</v>
      </c>
      <c r="XA129" s="69">
        <v>909815</v>
      </c>
      <c r="XB129" s="69">
        <v>156156.04999999999</v>
      </c>
      <c r="XC129" s="69">
        <v>4034258.9699999997</v>
      </c>
      <c r="XD129" s="69">
        <v>1500</v>
      </c>
      <c r="XE129" s="69">
        <v>1218314.1499999999</v>
      </c>
      <c r="XF129" s="69">
        <v>0</v>
      </c>
      <c r="XG129" s="69">
        <v>0</v>
      </c>
      <c r="XH129" s="69">
        <v>1313237.55</v>
      </c>
      <c r="XI129" s="69">
        <v>0</v>
      </c>
      <c r="XJ129" s="69">
        <v>6268940</v>
      </c>
      <c r="XK129" s="70"/>
      <c r="XL129" s="70"/>
      <c r="XM129" s="70"/>
      <c r="XN129" s="70"/>
      <c r="XO129" s="70"/>
      <c r="XP129" s="70"/>
      <c r="XQ129" s="70"/>
      <c r="XR129" s="70"/>
      <c r="XS129" s="70"/>
      <c r="XT129" s="70"/>
      <c r="XU129" s="70"/>
      <c r="XV129" s="70"/>
      <c r="XW129" s="71"/>
    </row>
    <row r="130" spans="1:647" s="45" customFormat="1" ht="14.5" x14ac:dyDescent="0.35">
      <c r="A130" s="38" t="s">
        <v>720</v>
      </c>
      <c r="B130" s="39">
        <v>2018</v>
      </c>
      <c r="C130" s="40">
        <v>81837327</v>
      </c>
      <c r="D130" s="41">
        <v>7917.686695528796</v>
      </c>
      <c r="E130" s="41">
        <v>131.15795415700751</v>
      </c>
      <c r="F130" s="41">
        <v>1160.6887731018114</v>
      </c>
      <c r="G130" s="41">
        <v>88.724732964697381</v>
      </c>
      <c r="H130" s="41">
        <v>140.96094830489258</v>
      </c>
      <c r="I130" s="41">
        <v>123.15083801359754</v>
      </c>
      <c r="J130" s="41">
        <v>2302.196361550798</v>
      </c>
      <c r="K130" s="41">
        <v>6899.622730491199</v>
      </c>
      <c r="L130" s="41">
        <v>229.09222758347545</v>
      </c>
      <c r="M130" s="41">
        <v>631.36636206241371</v>
      </c>
      <c r="N130" s="41">
        <v>431.71666080381397</v>
      </c>
      <c r="O130" s="41">
        <v>1806.2752303621201</v>
      </c>
      <c r="P130" s="41">
        <v>375.56523965985122</v>
      </c>
      <c r="Q130" s="41">
        <v>258.1105661653072</v>
      </c>
      <c r="R130" s="41">
        <v>4049.2812063799674</v>
      </c>
      <c r="S130" s="41">
        <v>811.69387705019358</v>
      </c>
      <c r="T130" s="41">
        <v>1111.8725143444653</v>
      </c>
      <c r="U130" s="41">
        <v>715.35922208416594</v>
      </c>
      <c r="V130" s="42">
        <v>-132.86002026821711</v>
      </c>
      <c r="W130" s="43"/>
      <c r="X130" s="44"/>
      <c r="Y130" s="44">
        <v>6253.3</v>
      </c>
      <c r="Z130" s="44">
        <v>29051.662120340359</v>
      </c>
      <c r="UW130" s="69">
        <v>0</v>
      </c>
      <c r="UX130" s="69">
        <v>5459043</v>
      </c>
      <c r="UY130" s="69">
        <v>1543303</v>
      </c>
      <c r="UZ130" s="69">
        <v>1507692</v>
      </c>
      <c r="VA130" s="69">
        <v>0</v>
      </c>
      <c r="VB130" s="69">
        <v>656950</v>
      </c>
      <c r="VC130" s="69">
        <v>76359.3</v>
      </c>
      <c r="VD130" s="69">
        <v>1883171.85</v>
      </c>
      <c r="VE130" s="69">
        <v>134000</v>
      </c>
      <c r="VF130" s="69">
        <v>566200</v>
      </c>
      <c r="VG130" s="69">
        <v>778400</v>
      </c>
      <c r="VH130" s="69">
        <v>827742</v>
      </c>
      <c r="VI130" s="69">
        <v>145350</v>
      </c>
      <c r="VJ130" s="69">
        <v>1159950</v>
      </c>
      <c r="VK130" s="69">
        <v>0</v>
      </c>
      <c r="VL130" s="69">
        <v>0</v>
      </c>
      <c r="VM130" s="69">
        <v>697055</v>
      </c>
      <c r="VN130" s="69">
        <v>0</v>
      </c>
      <c r="VO130" s="69">
        <v>563300</v>
      </c>
      <c r="VP130" s="69">
        <v>191915</v>
      </c>
      <c r="VQ130" s="69">
        <v>0</v>
      </c>
      <c r="VR130" s="69">
        <v>184995</v>
      </c>
      <c r="VS130" s="69">
        <v>245560</v>
      </c>
      <c r="VT130" s="69">
        <v>0</v>
      </c>
      <c r="VU130" s="69">
        <v>0</v>
      </c>
      <c r="VV130" s="69">
        <v>0</v>
      </c>
      <c r="VW130" s="69">
        <v>77395</v>
      </c>
      <c r="VX130" s="69">
        <v>46760</v>
      </c>
      <c r="VY130" s="69">
        <v>5450</v>
      </c>
      <c r="VZ130" s="69">
        <v>5610</v>
      </c>
      <c r="WA130" s="69">
        <v>574993</v>
      </c>
      <c r="WB130" s="69">
        <v>343560</v>
      </c>
      <c r="WC130" s="69">
        <v>74000</v>
      </c>
      <c r="WD130" s="69">
        <v>74070</v>
      </c>
      <c r="WE130" s="69">
        <v>18942</v>
      </c>
      <c r="WF130" s="69">
        <v>33350</v>
      </c>
      <c r="WG130" s="69">
        <v>4200</v>
      </c>
      <c r="WH130" s="69">
        <v>0</v>
      </c>
      <c r="WI130" s="69">
        <v>311535</v>
      </c>
      <c r="WJ130" s="69">
        <v>0</v>
      </c>
      <c r="WK130" s="69">
        <v>0</v>
      </c>
      <c r="WL130" s="69">
        <v>0</v>
      </c>
      <c r="WM130" s="69">
        <v>943762</v>
      </c>
      <c r="WN130" s="69">
        <v>600</v>
      </c>
      <c r="WO130" s="69">
        <v>0</v>
      </c>
      <c r="WP130" s="69">
        <v>1549314</v>
      </c>
      <c r="WQ130" s="69">
        <v>361880</v>
      </c>
      <c r="WR130" s="69">
        <v>0</v>
      </c>
      <c r="WS130" s="69">
        <v>0</v>
      </c>
      <c r="WT130" s="69">
        <v>173756</v>
      </c>
      <c r="WU130" s="69">
        <v>0</v>
      </c>
      <c r="WV130" s="69">
        <v>2570</v>
      </c>
      <c r="WW130" s="69">
        <v>3974709.02</v>
      </c>
      <c r="WX130" s="69">
        <v>0</v>
      </c>
      <c r="WY130" s="69">
        <v>0</v>
      </c>
      <c r="WZ130" s="69">
        <v>0</v>
      </c>
      <c r="XA130" s="69">
        <v>543300</v>
      </c>
      <c r="XB130" s="69">
        <v>873013</v>
      </c>
      <c r="XC130" s="69">
        <v>10945985.5</v>
      </c>
      <c r="XD130" s="69">
        <v>4800</v>
      </c>
      <c r="XE130" s="69">
        <v>1024820.9</v>
      </c>
      <c r="XF130" s="69">
        <v>0</v>
      </c>
      <c r="XG130" s="69">
        <v>0</v>
      </c>
      <c r="XH130" s="69">
        <v>1366883.4000000001</v>
      </c>
      <c r="XI130" s="69">
        <v>0</v>
      </c>
      <c r="XJ130" s="69">
        <v>2000</v>
      </c>
      <c r="XK130" s="69">
        <v>0</v>
      </c>
      <c r="XL130" s="69">
        <v>0</v>
      </c>
      <c r="XM130" s="69">
        <v>0</v>
      </c>
      <c r="XN130" s="69">
        <v>0</v>
      </c>
      <c r="XO130" s="69">
        <v>0</v>
      </c>
      <c r="XP130" s="69">
        <v>0</v>
      </c>
      <c r="XQ130" s="69">
        <v>0</v>
      </c>
      <c r="XR130" s="69">
        <v>0</v>
      </c>
      <c r="XS130" s="69">
        <v>0</v>
      </c>
      <c r="XT130" s="69">
        <v>0</v>
      </c>
      <c r="XU130" s="69">
        <v>0</v>
      </c>
    </row>
    <row r="131" spans="1:647" s="45" customFormat="1" x14ac:dyDescent="0.3">
      <c r="A131" s="38" t="s">
        <v>720</v>
      </c>
      <c r="B131" s="39">
        <v>2019</v>
      </c>
      <c r="C131" s="40">
        <v>108906153</v>
      </c>
      <c r="D131" s="46"/>
      <c r="E131" s="46"/>
      <c r="F131" s="46"/>
      <c r="G131" s="46"/>
      <c r="H131" s="46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5">
        <v>143920</v>
      </c>
      <c r="X131" s="44"/>
      <c r="Y131" s="44">
        <v>6253.3</v>
      </c>
      <c r="Z131" s="47">
        <v>32191</v>
      </c>
      <c r="UW131" s="69">
        <v>0</v>
      </c>
      <c r="UX131" s="69">
        <v>28779724.870000001</v>
      </c>
      <c r="UY131" s="69">
        <v>0</v>
      </c>
      <c r="UZ131" s="69">
        <v>0</v>
      </c>
      <c r="VA131" s="69">
        <v>0</v>
      </c>
      <c r="VB131" s="69">
        <v>0</v>
      </c>
      <c r="VC131" s="69">
        <v>0</v>
      </c>
      <c r="VD131" s="69">
        <v>0</v>
      </c>
      <c r="VE131" s="69">
        <v>0</v>
      </c>
      <c r="VF131" s="69">
        <v>615850</v>
      </c>
      <c r="VG131" s="69">
        <v>804700</v>
      </c>
      <c r="VH131" s="69">
        <v>3103475</v>
      </c>
      <c r="VI131" s="69">
        <v>313157</v>
      </c>
      <c r="VJ131" s="69">
        <v>4739500</v>
      </c>
      <c r="VK131" s="69">
        <v>0</v>
      </c>
      <c r="VL131" s="69">
        <v>0</v>
      </c>
      <c r="VM131" s="69">
        <v>1175661</v>
      </c>
      <c r="VN131" s="69">
        <v>0</v>
      </c>
      <c r="VO131" s="69">
        <v>0</v>
      </c>
      <c r="VP131" s="69">
        <v>0</v>
      </c>
      <c r="VQ131" s="69">
        <v>0</v>
      </c>
      <c r="VR131" s="69">
        <v>0</v>
      </c>
      <c r="VS131" s="69">
        <v>317800</v>
      </c>
      <c r="VT131" s="69">
        <v>0</v>
      </c>
      <c r="VU131" s="69">
        <v>0</v>
      </c>
      <c r="VV131" s="69">
        <v>0</v>
      </c>
      <c r="VW131" s="69">
        <v>240462.5</v>
      </c>
      <c r="VX131" s="69">
        <v>0</v>
      </c>
      <c r="VY131" s="69">
        <v>0</v>
      </c>
      <c r="VZ131" s="69">
        <v>0</v>
      </c>
      <c r="WA131" s="69">
        <v>1672611</v>
      </c>
      <c r="WB131" s="69">
        <v>1447920</v>
      </c>
      <c r="WC131" s="69">
        <v>145150</v>
      </c>
      <c r="WD131" s="69">
        <v>239595</v>
      </c>
      <c r="WE131" s="69">
        <v>359270</v>
      </c>
      <c r="WF131" s="69">
        <v>216450</v>
      </c>
      <c r="WG131" s="69">
        <v>1350</v>
      </c>
      <c r="WH131" s="69">
        <v>120863</v>
      </c>
      <c r="WI131" s="69">
        <v>0</v>
      </c>
      <c r="WJ131" s="69">
        <v>167000</v>
      </c>
      <c r="WK131" s="69">
        <v>0</v>
      </c>
      <c r="WL131" s="69">
        <v>3300</v>
      </c>
      <c r="WM131" s="69">
        <v>2871100</v>
      </c>
      <c r="WN131" s="69">
        <v>500</v>
      </c>
      <c r="WO131" s="69">
        <v>0</v>
      </c>
      <c r="WP131" s="69">
        <v>2984228.5</v>
      </c>
      <c r="WQ131" s="69">
        <v>202000</v>
      </c>
      <c r="WR131" s="69">
        <v>0</v>
      </c>
      <c r="WS131" s="69">
        <v>0</v>
      </c>
      <c r="WT131" s="69">
        <v>0</v>
      </c>
      <c r="WU131" s="69">
        <v>0</v>
      </c>
      <c r="WV131" s="69">
        <v>0</v>
      </c>
      <c r="WW131" s="69">
        <v>12229524.620000001</v>
      </c>
      <c r="WX131" s="69">
        <v>0</v>
      </c>
      <c r="WY131" s="69">
        <v>0</v>
      </c>
      <c r="WZ131" s="69">
        <v>0</v>
      </c>
      <c r="XA131" s="69">
        <v>324900</v>
      </c>
      <c r="XB131" s="69">
        <v>3251418</v>
      </c>
      <c r="XC131" s="69">
        <v>0</v>
      </c>
      <c r="XD131" s="69">
        <v>9600</v>
      </c>
      <c r="XE131" s="69">
        <v>0</v>
      </c>
      <c r="XF131" s="69">
        <v>140845</v>
      </c>
      <c r="XG131" s="69">
        <v>1200000</v>
      </c>
      <c r="XH131" s="69">
        <v>0</v>
      </c>
      <c r="XI131" s="69">
        <v>2059849.65</v>
      </c>
      <c r="XJ131" s="69">
        <v>4338921</v>
      </c>
      <c r="XK131" s="69">
        <v>0</v>
      </c>
      <c r="XL131" s="69">
        <v>0</v>
      </c>
      <c r="XM131" s="69">
        <v>0</v>
      </c>
      <c r="XN131" s="69">
        <v>0</v>
      </c>
      <c r="XO131" s="69">
        <v>0</v>
      </c>
      <c r="XP131" s="69">
        <v>0</v>
      </c>
      <c r="XQ131" s="69">
        <v>0</v>
      </c>
      <c r="XR131" s="69">
        <v>0</v>
      </c>
      <c r="XS131" s="69">
        <v>0</v>
      </c>
      <c r="XT131" s="69">
        <v>0</v>
      </c>
      <c r="XU131" s="69">
        <v>0</v>
      </c>
    </row>
    <row r="132" spans="1:647" s="45" customFormat="1" x14ac:dyDescent="0.3">
      <c r="A132" s="38" t="s">
        <v>720</v>
      </c>
      <c r="B132" s="39">
        <v>2020</v>
      </c>
      <c r="C132" s="40">
        <v>108433650</v>
      </c>
      <c r="D132" s="46">
        <v>9670</v>
      </c>
      <c r="E132" s="46">
        <v>146</v>
      </c>
      <c r="F132" s="46">
        <v>1280</v>
      </c>
      <c r="G132" s="46">
        <v>102</v>
      </c>
      <c r="H132" s="46">
        <v>123</v>
      </c>
      <c r="I132" s="40">
        <v>170</v>
      </c>
      <c r="J132" s="40">
        <v>2441</v>
      </c>
      <c r="K132" s="40">
        <v>7225</v>
      </c>
      <c r="L132" s="40">
        <v>178</v>
      </c>
      <c r="M132" s="40">
        <v>741</v>
      </c>
      <c r="N132" s="40">
        <v>368</v>
      </c>
      <c r="O132" s="40">
        <v>2040</v>
      </c>
      <c r="P132" s="40">
        <v>365</v>
      </c>
      <c r="Q132" s="40">
        <v>245</v>
      </c>
      <c r="R132" s="40">
        <v>4758</v>
      </c>
      <c r="S132" s="40">
        <v>921</v>
      </c>
      <c r="T132" s="40">
        <v>1424</v>
      </c>
      <c r="U132" s="40">
        <v>686</v>
      </c>
      <c r="V132" s="40">
        <v>-139</v>
      </c>
      <c r="W132" s="45">
        <v>154774</v>
      </c>
      <c r="X132" s="44"/>
      <c r="Y132" s="44">
        <v>6253.3</v>
      </c>
      <c r="Z132" s="47">
        <v>32747</v>
      </c>
      <c r="UW132" s="69">
        <v>0</v>
      </c>
      <c r="UX132" s="69">
        <v>39590725</v>
      </c>
      <c r="UY132" s="69">
        <v>0</v>
      </c>
      <c r="UZ132" s="69">
        <v>0</v>
      </c>
      <c r="VA132" s="69">
        <v>0</v>
      </c>
      <c r="VB132" s="69">
        <v>0</v>
      </c>
      <c r="VC132" s="69">
        <v>0</v>
      </c>
      <c r="VD132" s="69">
        <v>0</v>
      </c>
      <c r="VE132" s="69">
        <v>0</v>
      </c>
      <c r="VF132" s="69">
        <v>410800</v>
      </c>
      <c r="VG132" s="69">
        <v>33800</v>
      </c>
      <c r="VH132" s="69">
        <v>2604975</v>
      </c>
      <c r="VI132" s="69">
        <v>41790</v>
      </c>
      <c r="VJ132" s="69">
        <v>5470652</v>
      </c>
      <c r="VK132" s="69">
        <v>0</v>
      </c>
      <c r="VL132" s="69">
        <v>0</v>
      </c>
      <c r="VM132" s="69">
        <v>536280</v>
      </c>
      <c r="VN132" s="69">
        <v>0</v>
      </c>
      <c r="VO132" s="69">
        <v>0</v>
      </c>
      <c r="VP132" s="69">
        <v>0</v>
      </c>
      <c r="VQ132" s="69">
        <v>0</v>
      </c>
      <c r="VR132" s="69">
        <v>0</v>
      </c>
      <c r="VS132" s="69">
        <v>349130</v>
      </c>
      <c r="VT132" s="69">
        <v>0</v>
      </c>
      <c r="VU132" s="69">
        <v>0</v>
      </c>
      <c r="VV132" s="69">
        <v>0</v>
      </c>
      <c r="VW132" s="69">
        <v>45650</v>
      </c>
      <c r="VX132" s="69">
        <v>0</v>
      </c>
      <c r="VY132" s="69">
        <v>0</v>
      </c>
      <c r="VZ132" s="69">
        <v>0</v>
      </c>
      <c r="WA132" s="69">
        <v>556040</v>
      </c>
      <c r="WB132" s="69">
        <v>1046990</v>
      </c>
      <c r="WC132" s="69">
        <v>6756600</v>
      </c>
      <c r="WD132" s="69">
        <v>0</v>
      </c>
      <c r="WE132" s="69">
        <v>0</v>
      </c>
      <c r="WF132" s="69">
        <v>0</v>
      </c>
      <c r="WG132" s="69">
        <v>0</v>
      </c>
      <c r="WH132" s="69">
        <v>71310</v>
      </c>
      <c r="WI132" s="69">
        <v>0</v>
      </c>
      <c r="WJ132" s="69">
        <v>269500</v>
      </c>
      <c r="WK132" s="69">
        <v>0</v>
      </c>
      <c r="WL132" s="69">
        <v>45900</v>
      </c>
      <c r="WM132" s="69">
        <v>2103770</v>
      </c>
      <c r="WN132" s="69">
        <v>0</v>
      </c>
      <c r="WO132" s="69">
        <v>209746</v>
      </c>
      <c r="WP132" s="69">
        <v>2573381</v>
      </c>
      <c r="WQ132" s="69">
        <v>163100</v>
      </c>
      <c r="WR132" s="69">
        <v>0</v>
      </c>
      <c r="WS132" s="69">
        <v>0</v>
      </c>
      <c r="WT132" s="69">
        <v>0</v>
      </c>
      <c r="WU132" s="69">
        <v>0</v>
      </c>
      <c r="WV132" s="69">
        <v>0</v>
      </c>
      <c r="WW132" s="69">
        <v>4292453</v>
      </c>
      <c r="WX132" s="69">
        <v>0</v>
      </c>
      <c r="WY132" s="69">
        <v>0</v>
      </c>
      <c r="WZ132" s="69">
        <v>0</v>
      </c>
      <c r="XA132" s="69">
        <v>454990</v>
      </c>
      <c r="XB132" s="69">
        <v>16793100</v>
      </c>
      <c r="XC132" s="69">
        <v>0</v>
      </c>
      <c r="XD132" s="69">
        <v>0</v>
      </c>
      <c r="XE132" s="69">
        <v>0</v>
      </c>
      <c r="XF132" s="69">
        <v>129730</v>
      </c>
      <c r="XG132" s="69">
        <v>1000000</v>
      </c>
      <c r="XH132" s="69">
        <v>0</v>
      </c>
      <c r="XI132" s="69">
        <v>4193274.32</v>
      </c>
      <c r="XJ132" s="69">
        <v>1064689.83</v>
      </c>
      <c r="XK132" s="69">
        <v>0</v>
      </c>
      <c r="XL132" s="69">
        <v>0</v>
      </c>
      <c r="XM132" s="69">
        <v>0</v>
      </c>
      <c r="XN132" s="69">
        <v>0</v>
      </c>
      <c r="XO132" s="69">
        <v>0</v>
      </c>
      <c r="XP132" s="69">
        <v>0</v>
      </c>
      <c r="XQ132" s="69">
        <v>0</v>
      </c>
      <c r="XR132" s="69">
        <v>0</v>
      </c>
      <c r="XS132" s="69">
        <v>0</v>
      </c>
      <c r="XT132" s="69">
        <v>0</v>
      </c>
      <c r="XU132" s="69">
        <v>0</v>
      </c>
      <c r="XV132" s="69">
        <v>0</v>
      </c>
    </row>
    <row r="133" spans="1:647" s="45" customFormat="1" x14ac:dyDescent="0.3">
      <c r="A133" s="38" t="s">
        <v>720</v>
      </c>
      <c r="B133" s="39">
        <v>2021</v>
      </c>
      <c r="C133" s="40">
        <v>126996805</v>
      </c>
      <c r="D133" s="46">
        <v>9611</v>
      </c>
      <c r="E133" s="46">
        <v>175</v>
      </c>
      <c r="F133" s="46">
        <v>1309</v>
      </c>
      <c r="G133" s="46">
        <v>100</v>
      </c>
      <c r="H133" s="46">
        <v>135</v>
      </c>
      <c r="I133" s="40">
        <v>198</v>
      </c>
      <c r="J133" s="40">
        <v>2671</v>
      </c>
      <c r="K133" s="40">
        <v>8948</v>
      </c>
      <c r="L133" s="40">
        <v>306</v>
      </c>
      <c r="M133" s="40">
        <v>774</v>
      </c>
      <c r="N133" s="40">
        <v>430</v>
      </c>
      <c r="O133" s="40">
        <v>2199</v>
      </c>
      <c r="P133" s="40">
        <v>411</v>
      </c>
      <c r="Q133" s="40">
        <v>280</v>
      </c>
      <c r="R133" s="40">
        <v>5658</v>
      </c>
      <c r="S133" s="40">
        <v>1156</v>
      </c>
      <c r="T133" s="40">
        <v>1505</v>
      </c>
      <c r="U133" s="40">
        <v>769</v>
      </c>
      <c r="V133" s="40">
        <v>-187</v>
      </c>
      <c r="W133" s="45">
        <v>158960</v>
      </c>
      <c r="X133" s="44"/>
      <c r="Y133" s="44">
        <v>6253.3</v>
      </c>
      <c r="Z133" s="47">
        <v>36447</v>
      </c>
      <c r="UW133" s="69">
        <v>0</v>
      </c>
      <c r="UX133" s="69">
        <v>68041145</v>
      </c>
      <c r="UY133" s="69">
        <v>0</v>
      </c>
      <c r="UZ133" s="69">
        <v>0</v>
      </c>
      <c r="VA133" s="69">
        <v>0</v>
      </c>
      <c r="VB133" s="69">
        <v>0</v>
      </c>
      <c r="VC133" s="69">
        <v>0</v>
      </c>
      <c r="VD133" s="69">
        <v>0</v>
      </c>
      <c r="VE133" s="69">
        <v>0</v>
      </c>
      <c r="VF133" s="69">
        <v>612056</v>
      </c>
      <c r="VG133" s="69">
        <v>14300</v>
      </c>
      <c r="VH133" s="69">
        <v>821607</v>
      </c>
      <c r="VI133" s="69">
        <v>96750</v>
      </c>
      <c r="VJ133" s="69">
        <v>4130539</v>
      </c>
      <c r="VK133" s="69">
        <v>0</v>
      </c>
      <c r="VL133" s="69">
        <v>0</v>
      </c>
      <c r="VM133" s="69">
        <v>424850</v>
      </c>
      <c r="VN133" s="69">
        <v>0</v>
      </c>
      <c r="VO133" s="69">
        <v>0</v>
      </c>
      <c r="VP133" s="69">
        <v>0</v>
      </c>
      <c r="VQ133" s="69">
        <v>0</v>
      </c>
      <c r="VR133" s="69">
        <v>0</v>
      </c>
      <c r="VS133" s="69">
        <v>396010</v>
      </c>
      <c r="VT133" s="69">
        <v>0</v>
      </c>
      <c r="VU133" s="69">
        <v>0</v>
      </c>
      <c r="VV133" s="69">
        <v>0</v>
      </c>
      <c r="VW133" s="69">
        <v>208950</v>
      </c>
      <c r="VX133" s="69">
        <v>0</v>
      </c>
      <c r="VY133" s="69">
        <v>0</v>
      </c>
      <c r="VZ133" s="69">
        <v>0</v>
      </c>
      <c r="WA133" s="69">
        <v>1076660</v>
      </c>
      <c r="WB133" s="69">
        <v>1557850</v>
      </c>
      <c r="WC133" s="69">
        <v>17634100</v>
      </c>
      <c r="WD133" s="69">
        <v>0</v>
      </c>
      <c r="WE133" s="69">
        <v>0</v>
      </c>
      <c r="WF133" s="69">
        <v>0</v>
      </c>
      <c r="WG133" s="69">
        <v>0</v>
      </c>
      <c r="WH133" s="69">
        <v>32410</v>
      </c>
      <c r="WI133" s="69">
        <v>0</v>
      </c>
      <c r="WJ133" s="69">
        <v>596100</v>
      </c>
      <c r="WK133" s="69">
        <v>0</v>
      </c>
      <c r="WL133" s="69">
        <v>168850</v>
      </c>
      <c r="WM133" s="69">
        <v>2418900</v>
      </c>
      <c r="WN133" s="69">
        <v>0</v>
      </c>
      <c r="WO133" s="69">
        <v>1699904</v>
      </c>
      <c r="WP133" s="69">
        <v>5728611</v>
      </c>
      <c r="WQ133" s="69">
        <v>434355</v>
      </c>
      <c r="WR133" s="69">
        <v>0</v>
      </c>
      <c r="WS133" s="69">
        <v>0</v>
      </c>
      <c r="WT133" s="69">
        <v>0</v>
      </c>
      <c r="WU133" s="69">
        <v>0</v>
      </c>
      <c r="WV133" s="69">
        <v>0</v>
      </c>
      <c r="WW133" s="69">
        <v>11568121</v>
      </c>
      <c r="WX133" s="69">
        <v>0</v>
      </c>
      <c r="WY133" s="69">
        <v>0</v>
      </c>
      <c r="WZ133" s="69">
        <v>0</v>
      </c>
      <c r="XA133" s="69">
        <v>764670</v>
      </c>
      <c r="XB133" s="69">
        <v>0</v>
      </c>
      <c r="XC133" s="69">
        <v>0</v>
      </c>
      <c r="XD133" s="69">
        <v>2700</v>
      </c>
      <c r="XE133" s="69">
        <v>0</v>
      </c>
      <c r="XF133" s="69">
        <v>0</v>
      </c>
      <c r="XG133" s="69">
        <v>0</v>
      </c>
      <c r="XH133" s="69">
        <v>0</v>
      </c>
      <c r="XI133" s="69">
        <v>1987099.6</v>
      </c>
      <c r="XJ133" s="69">
        <v>455695</v>
      </c>
      <c r="XK133" s="69">
        <v>0</v>
      </c>
      <c r="XL133" s="69">
        <v>0</v>
      </c>
      <c r="XM133" s="69">
        <v>0</v>
      </c>
      <c r="XN133" s="69">
        <v>0</v>
      </c>
      <c r="XO133" s="69">
        <v>0</v>
      </c>
      <c r="XP133" s="69">
        <v>0</v>
      </c>
      <c r="XQ133" s="69">
        <v>0</v>
      </c>
      <c r="XR133" s="69">
        <v>0</v>
      </c>
      <c r="XS133" s="69">
        <v>0</v>
      </c>
      <c r="XT133" s="69">
        <v>0</v>
      </c>
      <c r="XU133" s="69">
        <v>0</v>
      </c>
      <c r="XV133" s="69">
        <v>0</v>
      </c>
    </row>
    <row r="134" spans="1:647" s="45" customFormat="1" x14ac:dyDescent="0.3">
      <c r="A134" s="38" t="s">
        <v>720</v>
      </c>
      <c r="B134" s="39">
        <v>2022</v>
      </c>
      <c r="C134" s="40">
        <v>156907245</v>
      </c>
      <c r="D134" s="46">
        <v>11228</v>
      </c>
      <c r="E134" s="46">
        <v>226</v>
      </c>
      <c r="F134" s="46">
        <v>1297</v>
      </c>
      <c r="G134" s="46">
        <v>93</v>
      </c>
      <c r="H134" s="46">
        <v>100</v>
      </c>
      <c r="I134" s="40">
        <v>217</v>
      </c>
      <c r="J134" s="40">
        <v>3008</v>
      </c>
      <c r="K134" s="40">
        <v>10292</v>
      </c>
      <c r="L134" s="40">
        <v>337</v>
      </c>
      <c r="M134" s="40">
        <v>855</v>
      </c>
      <c r="N134" s="40">
        <v>508</v>
      </c>
      <c r="O134" s="40">
        <v>2352</v>
      </c>
      <c r="P134" s="40">
        <v>431</v>
      </c>
      <c r="Q134" s="40">
        <v>346</v>
      </c>
      <c r="R134" s="40">
        <v>5600</v>
      </c>
      <c r="S134" s="40">
        <v>1220</v>
      </c>
      <c r="T134" s="40">
        <v>1423</v>
      </c>
      <c r="U134" s="40">
        <v>834</v>
      </c>
      <c r="V134" s="40">
        <v>-203</v>
      </c>
      <c r="W134" s="45">
        <v>163146</v>
      </c>
      <c r="X134" s="45">
        <v>44926</v>
      </c>
      <c r="Y134" s="44">
        <v>6253.3</v>
      </c>
      <c r="Z134" s="47">
        <v>40164</v>
      </c>
      <c r="UW134" s="69">
        <v>0</v>
      </c>
      <c r="UX134" s="69">
        <v>72747908</v>
      </c>
      <c r="UY134" s="69">
        <v>0</v>
      </c>
      <c r="UZ134" s="69">
        <v>0</v>
      </c>
      <c r="VA134" s="69">
        <v>0</v>
      </c>
      <c r="VB134" s="69">
        <v>0</v>
      </c>
      <c r="VC134" s="69">
        <v>0</v>
      </c>
      <c r="VD134" s="69">
        <v>0</v>
      </c>
      <c r="VE134" s="69">
        <v>0</v>
      </c>
      <c r="VF134" s="69">
        <v>393500</v>
      </c>
      <c r="VG134" s="69">
        <v>329000</v>
      </c>
      <c r="VH134" s="69">
        <v>746850</v>
      </c>
      <c r="VI134" s="69">
        <v>183400</v>
      </c>
      <c r="VJ134" s="69">
        <v>9041939</v>
      </c>
      <c r="VK134" s="69">
        <v>0</v>
      </c>
      <c r="VL134" s="69">
        <v>0</v>
      </c>
      <c r="VM134" s="69">
        <v>572040</v>
      </c>
      <c r="VN134" s="69">
        <v>0</v>
      </c>
      <c r="VO134" s="69">
        <v>0</v>
      </c>
      <c r="VP134" s="69">
        <v>0</v>
      </c>
      <c r="VQ134" s="69">
        <v>0</v>
      </c>
      <c r="VR134" s="69">
        <v>0</v>
      </c>
      <c r="VS134" s="69">
        <v>562650</v>
      </c>
      <c r="VT134" s="69">
        <v>0</v>
      </c>
      <c r="VU134" s="69">
        <v>0</v>
      </c>
      <c r="VV134" s="69">
        <v>0</v>
      </c>
      <c r="VW134" s="69">
        <v>309240</v>
      </c>
      <c r="VX134" s="69">
        <v>0</v>
      </c>
      <c r="VY134" s="69">
        <v>0</v>
      </c>
      <c r="VZ134" s="69">
        <v>0</v>
      </c>
      <c r="WA134" s="69">
        <v>1461594</v>
      </c>
      <c r="WB134" s="69">
        <v>1381050</v>
      </c>
      <c r="WC134" s="69">
        <v>13948583</v>
      </c>
      <c r="WD134" s="69">
        <v>0</v>
      </c>
      <c r="WE134" s="69">
        <v>0</v>
      </c>
      <c r="WF134" s="69">
        <v>0</v>
      </c>
      <c r="WG134" s="69">
        <v>0</v>
      </c>
      <c r="WH134" s="69">
        <v>7400</v>
      </c>
      <c r="WI134" s="69">
        <v>0</v>
      </c>
      <c r="WJ134" s="69">
        <v>539300</v>
      </c>
      <c r="WK134" s="69">
        <v>0</v>
      </c>
      <c r="WL134" s="69">
        <v>63450</v>
      </c>
      <c r="WM134" s="69">
        <v>3343628</v>
      </c>
      <c r="WN134" s="69">
        <v>0</v>
      </c>
      <c r="WO134" s="69">
        <v>2084973</v>
      </c>
      <c r="WP134" s="69">
        <v>2138139</v>
      </c>
      <c r="WQ134" s="69">
        <v>206150</v>
      </c>
      <c r="WR134" s="69">
        <v>0</v>
      </c>
      <c r="WS134" s="69">
        <v>0</v>
      </c>
      <c r="WT134" s="69">
        <v>0</v>
      </c>
      <c r="WU134" s="69">
        <v>0</v>
      </c>
      <c r="WV134" s="69">
        <v>0</v>
      </c>
      <c r="WW134" s="69">
        <v>5937106</v>
      </c>
      <c r="WX134" s="69">
        <v>0</v>
      </c>
      <c r="WY134" s="69">
        <v>0</v>
      </c>
      <c r="WZ134" s="69">
        <v>0</v>
      </c>
      <c r="XA134" s="69">
        <v>837700</v>
      </c>
      <c r="XB134" s="69">
        <v>0</v>
      </c>
      <c r="XC134" s="69">
        <v>0</v>
      </c>
      <c r="XD134" s="69">
        <v>4100</v>
      </c>
      <c r="XE134" s="69">
        <v>0</v>
      </c>
      <c r="XF134" s="69">
        <v>20000</v>
      </c>
      <c r="XG134" s="69">
        <v>0</v>
      </c>
      <c r="XH134" s="69">
        <v>0</v>
      </c>
      <c r="XI134" s="69">
        <v>2030316.9499999997</v>
      </c>
      <c r="XJ134" s="69">
        <v>216689.75</v>
      </c>
      <c r="XK134" s="69">
        <v>0</v>
      </c>
      <c r="XL134" s="69">
        <v>0</v>
      </c>
      <c r="XM134" s="69">
        <v>0</v>
      </c>
      <c r="XN134" s="69">
        <v>0</v>
      </c>
      <c r="XO134" s="69">
        <v>0</v>
      </c>
      <c r="XP134" s="69">
        <v>0</v>
      </c>
      <c r="XQ134" s="69">
        <v>0</v>
      </c>
      <c r="XR134" s="69">
        <v>0</v>
      </c>
      <c r="XS134" s="69">
        <v>0</v>
      </c>
      <c r="XT134" s="69">
        <v>0</v>
      </c>
      <c r="XU134" s="69">
        <v>0</v>
      </c>
      <c r="XV134" s="69">
        <v>0</v>
      </c>
    </row>
    <row r="135" spans="1:647" s="45" customFormat="1" ht="14.5" x14ac:dyDescent="0.35">
      <c r="A135" s="38" t="s">
        <v>720</v>
      </c>
      <c r="B135" s="39">
        <v>2023</v>
      </c>
      <c r="C135" s="40">
        <v>186817685</v>
      </c>
      <c r="D135" s="45">
        <v>19017</v>
      </c>
      <c r="E135" s="45">
        <v>196</v>
      </c>
      <c r="F135" s="45">
        <v>1394</v>
      </c>
      <c r="G135" s="45">
        <v>176</v>
      </c>
      <c r="H135" s="45">
        <v>89</v>
      </c>
      <c r="I135" s="45">
        <v>231</v>
      </c>
      <c r="J135" s="45">
        <v>3340</v>
      </c>
      <c r="K135" s="45">
        <v>11742</v>
      </c>
      <c r="L135" s="45">
        <v>437</v>
      </c>
      <c r="M135" s="45">
        <v>904</v>
      </c>
      <c r="N135" s="15">
        <v>590</v>
      </c>
      <c r="O135" s="50">
        <v>2580</v>
      </c>
      <c r="P135" s="15">
        <v>472</v>
      </c>
      <c r="Q135" s="15">
        <v>409</v>
      </c>
      <c r="R135" s="50">
        <v>5758</v>
      </c>
      <c r="S135" s="50">
        <v>1323</v>
      </c>
      <c r="T135" s="50">
        <v>1519</v>
      </c>
      <c r="U135" s="15">
        <v>906</v>
      </c>
      <c r="V135" s="15">
        <v>-208</v>
      </c>
      <c r="W135" s="45">
        <v>167332</v>
      </c>
      <c r="X135" s="44"/>
      <c r="Y135" s="44">
        <v>6253.3</v>
      </c>
      <c r="Z135" s="47"/>
      <c r="UW135" s="72">
        <v>0</v>
      </c>
      <c r="UX135" s="72">
        <v>63340949</v>
      </c>
      <c r="UY135" s="72">
        <v>0</v>
      </c>
      <c r="UZ135" s="72">
        <v>0</v>
      </c>
      <c r="VA135" s="72">
        <v>0</v>
      </c>
      <c r="VB135" s="72">
        <v>0</v>
      </c>
      <c r="VC135" s="72">
        <v>0</v>
      </c>
      <c r="VD135" s="72">
        <v>0</v>
      </c>
      <c r="VE135" s="72">
        <v>0</v>
      </c>
      <c r="VF135" s="72">
        <v>343500</v>
      </c>
      <c r="VG135" s="72">
        <v>1180050</v>
      </c>
      <c r="VH135" s="72">
        <v>1211760</v>
      </c>
      <c r="VI135" s="72">
        <v>148750</v>
      </c>
      <c r="VJ135" s="72">
        <v>17370590</v>
      </c>
      <c r="VK135" s="72">
        <v>0</v>
      </c>
      <c r="VL135" s="72">
        <v>0</v>
      </c>
      <c r="VM135" s="72">
        <v>1044650</v>
      </c>
      <c r="VN135" s="72">
        <v>0</v>
      </c>
      <c r="VO135" s="72">
        <v>0</v>
      </c>
      <c r="VP135" s="72">
        <v>0</v>
      </c>
      <c r="VQ135" s="72">
        <v>0</v>
      </c>
      <c r="VR135" s="72">
        <v>0</v>
      </c>
      <c r="VS135" s="72">
        <v>1103450</v>
      </c>
      <c r="VT135" s="72">
        <v>0</v>
      </c>
      <c r="VU135" s="72">
        <v>0</v>
      </c>
      <c r="VV135" s="72">
        <v>0</v>
      </c>
      <c r="VW135" s="72">
        <v>247490</v>
      </c>
      <c r="VX135" s="72">
        <v>0</v>
      </c>
      <c r="VY135" s="72">
        <v>0</v>
      </c>
      <c r="VZ135" s="72">
        <v>0</v>
      </c>
      <c r="WA135" s="72">
        <v>5809610</v>
      </c>
      <c r="WB135" s="72">
        <v>2541630</v>
      </c>
      <c r="WC135" s="72">
        <v>2546500</v>
      </c>
      <c r="WD135" s="72">
        <v>0</v>
      </c>
      <c r="WE135" s="72">
        <v>0</v>
      </c>
      <c r="WF135" s="72">
        <v>0</v>
      </c>
      <c r="WG135" s="72">
        <v>0</v>
      </c>
      <c r="WH135" s="72">
        <v>16050</v>
      </c>
      <c r="WI135" s="72">
        <v>0</v>
      </c>
      <c r="WJ135" s="72">
        <v>999245</v>
      </c>
      <c r="WK135" s="72">
        <v>0</v>
      </c>
      <c r="WL135" s="72">
        <v>1459580</v>
      </c>
      <c r="WM135" s="72">
        <v>3288783</v>
      </c>
      <c r="WN135" s="72">
        <v>0</v>
      </c>
      <c r="WO135" s="72">
        <v>6795698</v>
      </c>
      <c r="WP135" s="72">
        <v>6742330</v>
      </c>
      <c r="WQ135" s="72">
        <v>89150</v>
      </c>
      <c r="WR135" s="72">
        <v>0</v>
      </c>
      <c r="WS135" s="72">
        <v>0</v>
      </c>
      <c r="WT135" s="72">
        <v>0</v>
      </c>
      <c r="WU135" s="72">
        <v>0</v>
      </c>
      <c r="WV135" s="72">
        <v>0</v>
      </c>
      <c r="WW135" s="72">
        <v>6536837</v>
      </c>
      <c r="WX135" s="72">
        <v>0</v>
      </c>
      <c r="WY135" s="72">
        <v>0</v>
      </c>
      <c r="WZ135" s="72">
        <v>0</v>
      </c>
      <c r="XA135" s="72">
        <v>1816200</v>
      </c>
      <c r="XB135" s="72">
        <v>0</v>
      </c>
      <c r="XC135" s="72">
        <v>0</v>
      </c>
      <c r="XD135" s="72">
        <v>5950</v>
      </c>
      <c r="XE135" s="72">
        <v>0</v>
      </c>
      <c r="XF135" s="72">
        <v>0</v>
      </c>
      <c r="XG135" s="72">
        <v>0</v>
      </c>
      <c r="XH135" s="72">
        <v>0</v>
      </c>
      <c r="XI135" s="72">
        <v>2249130</v>
      </c>
      <c r="XJ135" s="72">
        <v>109607</v>
      </c>
      <c r="XK135" s="72">
        <v>0</v>
      </c>
      <c r="XL135" s="72">
        <v>0</v>
      </c>
      <c r="XM135" s="72">
        <v>0</v>
      </c>
      <c r="XN135" s="72">
        <v>0</v>
      </c>
      <c r="XO135" s="72">
        <v>0</v>
      </c>
      <c r="XP135" s="72">
        <v>0</v>
      </c>
      <c r="XQ135" s="72">
        <v>0</v>
      </c>
      <c r="XR135" s="72">
        <v>0</v>
      </c>
      <c r="XS135" s="72">
        <v>0</v>
      </c>
      <c r="XT135" s="72">
        <v>0</v>
      </c>
      <c r="XU135" s="72">
        <v>0</v>
      </c>
      <c r="XV135" s="72">
        <v>0</v>
      </c>
    </row>
    <row r="136" spans="1:647" s="45" customFormat="1" ht="14.5" x14ac:dyDescent="0.35">
      <c r="A136" s="38" t="s">
        <v>721</v>
      </c>
      <c r="B136" s="39">
        <v>2017</v>
      </c>
      <c r="C136" s="40">
        <v>1063726784</v>
      </c>
      <c r="D136" s="41">
        <v>37115.917833844287</v>
      </c>
      <c r="E136" s="41">
        <v>10731.750639162346</v>
      </c>
      <c r="F136" s="41">
        <v>62978.648407770437</v>
      </c>
      <c r="G136" s="41">
        <v>4420.4525786732129</v>
      </c>
      <c r="H136" s="41">
        <v>1476.0872245851654</v>
      </c>
      <c r="I136" s="41">
        <v>16825.277080313339</v>
      </c>
      <c r="J136" s="41">
        <v>25972.61955965207</v>
      </c>
      <c r="K136" s="41">
        <v>17998.935846842178</v>
      </c>
      <c r="L136" s="41">
        <v>2668.6756497260967</v>
      </c>
      <c r="M136" s="41">
        <v>6439.0253263556133</v>
      </c>
      <c r="N136" s="41">
        <v>4810.9597375875564</v>
      </c>
      <c r="O136" s="41">
        <v>24137.456098532246</v>
      </c>
      <c r="P136" s="41">
        <v>6225.1927472093867</v>
      </c>
      <c r="Q136" s="41">
        <v>2945.8113672152112</v>
      </c>
      <c r="R136" s="41">
        <v>11928.419411200188</v>
      </c>
      <c r="S136" s="41">
        <v>10088.556412335805</v>
      </c>
      <c r="T136" s="41">
        <v>4124.6189716152994</v>
      </c>
      <c r="U136" s="41">
        <v>7301.9787125631192</v>
      </c>
      <c r="V136" s="42">
        <v>-1944.2945853592571</v>
      </c>
      <c r="W136" s="43"/>
      <c r="X136" s="44"/>
      <c r="Y136" s="44">
        <v>6042.7</v>
      </c>
      <c r="Z136" s="44">
        <v>256246.08901982431</v>
      </c>
    </row>
    <row r="137" spans="1:647" s="45" customFormat="1" ht="14.5" x14ac:dyDescent="0.35">
      <c r="A137" s="38" t="s">
        <v>721</v>
      </c>
      <c r="B137" s="39">
        <v>2018</v>
      </c>
      <c r="C137" s="40">
        <v>1557229789</v>
      </c>
      <c r="D137" s="41">
        <v>46269.536076179364</v>
      </c>
      <c r="E137" s="41">
        <v>10054.875368685913</v>
      </c>
      <c r="F137" s="41">
        <v>61250.320748371771</v>
      </c>
      <c r="G137" s="41">
        <v>3956.0328064004293</v>
      </c>
      <c r="H137" s="41">
        <v>1323.8348667718728</v>
      </c>
      <c r="I137" s="41">
        <v>20115.205679091767</v>
      </c>
      <c r="J137" s="41">
        <v>27287.71110355376</v>
      </c>
      <c r="K137" s="41">
        <v>22388.428472108269</v>
      </c>
      <c r="L137" s="41">
        <v>3130.9271103074971</v>
      </c>
      <c r="M137" s="41">
        <v>6861.5646415898118</v>
      </c>
      <c r="N137" s="41">
        <v>4767.7665952223651</v>
      </c>
      <c r="O137" s="41">
        <v>26825.343145239945</v>
      </c>
      <c r="P137" s="41">
        <v>6614.018383172257</v>
      </c>
      <c r="Q137" s="41">
        <v>3442.71215590273</v>
      </c>
      <c r="R137" s="41">
        <v>15684.160504319372</v>
      </c>
      <c r="S137" s="41">
        <v>11324.718691375427</v>
      </c>
      <c r="T137" s="41">
        <v>3896.4254718610187</v>
      </c>
      <c r="U137" s="41">
        <v>8065.4903547352096</v>
      </c>
      <c r="V137" s="42">
        <v>-1778.2465282170647</v>
      </c>
      <c r="W137" s="43"/>
      <c r="X137" s="44"/>
      <c r="Y137" s="44">
        <v>6042.7</v>
      </c>
      <c r="Z137" s="44">
        <v>281480.82564667182</v>
      </c>
    </row>
    <row r="138" spans="1:647" s="45" customFormat="1" x14ac:dyDescent="0.3">
      <c r="A138" s="38" t="s">
        <v>721</v>
      </c>
      <c r="B138" s="39">
        <v>2019</v>
      </c>
      <c r="C138" s="40">
        <v>1376171810</v>
      </c>
      <c r="D138" s="46"/>
      <c r="E138" s="46"/>
      <c r="F138" s="46"/>
      <c r="G138" s="46"/>
      <c r="H138" s="46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5">
        <v>1421932</v>
      </c>
      <c r="X138" s="44"/>
      <c r="Y138" s="44">
        <v>6042.7</v>
      </c>
      <c r="Z138" s="47">
        <v>295593</v>
      </c>
    </row>
    <row r="139" spans="1:647" s="45" customFormat="1" x14ac:dyDescent="0.3">
      <c r="A139" s="38" t="s">
        <v>721</v>
      </c>
      <c r="B139" s="39">
        <v>2020</v>
      </c>
      <c r="C139" s="40">
        <v>1296364669</v>
      </c>
      <c r="D139" s="46">
        <v>49794</v>
      </c>
      <c r="E139" s="46">
        <v>11205</v>
      </c>
      <c r="F139" s="46">
        <v>65180</v>
      </c>
      <c r="G139" s="46">
        <v>2740</v>
      </c>
      <c r="H139" s="46">
        <v>1361</v>
      </c>
      <c r="I139" s="40">
        <v>27664</v>
      </c>
      <c r="J139" s="40">
        <v>29827</v>
      </c>
      <c r="K139" s="40">
        <v>25912</v>
      </c>
      <c r="L139" s="40">
        <v>2437</v>
      </c>
      <c r="M139" s="40">
        <v>8028</v>
      </c>
      <c r="N139" s="40">
        <v>4926</v>
      </c>
      <c r="O139" s="40">
        <v>30279</v>
      </c>
      <c r="P139" s="40">
        <v>6434</v>
      </c>
      <c r="Q139" s="40">
        <v>3274</v>
      </c>
      <c r="R139" s="40">
        <v>17587</v>
      </c>
      <c r="S139" s="40">
        <v>11821</v>
      </c>
      <c r="T139" s="40">
        <v>4766</v>
      </c>
      <c r="U139" s="40">
        <v>7753</v>
      </c>
      <c r="V139" s="40">
        <v>-1824</v>
      </c>
      <c r="W139" s="45">
        <v>1441719</v>
      </c>
      <c r="X139" s="44"/>
      <c r="Y139" s="44">
        <v>6042.7</v>
      </c>
      <c r="Z139" s="47">
        <v>309164</v>
      </c>
    </row>
    <row r="140" spans="1:647" s="45" customFormat="1" x14ac:dyDescent="0.3">
      <c r="A140" s="38" t="s">
        <v>721</v>
      </c>
      <c r="B140" s="39">
        <v>2021</v>
      </c>
      <c r="C140" s="40">
        <v>1118461752</v>
      </c>
      <c r="D140" s="46">
        <v>55366</v>
      </c>
      <c r="E140" s="46">
        <v>13385</v>
      </c>
      <c r="F140" s="46">
        <v>71149</v>
      </c>
      <c r="G140" s="46">
        <v>3942</v>
      </c>
      <c r="H140" s="46">
        <v>1422</v>
      </c>
      <c r="I140" s="40">
        <v>31373</v>
      </c>
      <c r="J140" s="40">
        <v>32691</v>
      </c>
      <c r="K140" s="40">
        <v>33186</v>
      </c>
      <c r="L140" s="40">
        <v>4185</v>
      </c>
      <c r="M140" s="40">
        <v>8400</v>
      </c>
      <c r="N140" s="40">
        <v>6027</v>
      </c>
      <c r="O140" s="40">
        <v>32468</v>
      </c>
      <c r="P140" s="40">
        <v>7231</v>
      </c>
      <c r="Q140" s="40">
        <v>3731</v>
      </c>
      <c r="R140" s="40">
        <v>18207</v>
      </c>
      <c r="S140" s="40">
        <v>14996</v>
      </c>
      <c r="T140" s="40">
        <v>5430</v>
      </c>
      <c r="U140" s="40">
        <v>8684</v>
      </c>
      <c r="V140" s="40">
        <v>-1975</v>
      </c>
      <c r="W140" s="45">
        <v>1457065</v>
      </c>
      <c r="X140" s="44"/>
      <c r="Y140" s="44">
        <v>6042.7</v>
      </c>
      <c r="Z140" s="47">
        <v>349897</v>
      </c>
    </row>
    <row r="141" spans="1:647" s="45" customFormat="1" x14ac:dyDescent="0.3">
      <c r="A141" s="38" t="s">
        <v>721</v>
      </c>
      <c r="B141" s="39">
        <v>2022</v>
      </c>
      <c r="C141" s="40">
        <v>1429791259</v>
      </c>
      <c r="D141" s="46">
        <v>61646</v>
      </c>
      <c r="E141" s="46">
        <v>17349</v>
      </c>
      <c r="F141" s="46">
        <v>78577</v>
      </c>
      <c r="G141" s="46">
        <v>4694</v>
      </c>
      <c r="H141" s="46">
        <v>1376</v>
      </c>
      <c r="I141" s="40">
        <v>35180</v>
      </c>
      <c r="J141" s="40">
        <v>36346</v>
      </c>
      <c r="K141" s="40">
        <v>30164</v>
      </c>
      <c r="L141" s="40">
        <v>4612</v>
      </c>
      <c r="M141" s="40">
        <v>9266</v>
      </c>
      <c r="N141" s="40">
        <v>7096</v>
      </c>
      <c r="O141" s="40">
        <v>34880</v>
      </c>
      <c r="P141" s="40">
        <v>7584</v>
      </c>
      <c r="Q141" s="40">
        <v>4609</v>
      </c>
      <c r="R141" s="40">
        <v>16728</v>
      </c>
      <c r="S141" s="40">
        <v>15513</v>
      </c>
      <c r="T141" s="40">
        <v>5544</v>
      </c>
      <c r="U141" s="40">
        <v>9402</v>
      </c>
      <c r="V141" s="40">
        <v>-2121</v>
      </c>
      <c r="W141" s="45">
        <v>1472411</v>
      </c>
      <c r="X141" s="45">
        <v>643537</v>
      </c>
      <c r="Y141" s="44">
        <v>6042.7</v>
      </c>
      <c r="Z141" s="47">
        <v>378446</v>
      </c>
    </row>
    <row r="142" spans="1:647" s="45" customFormat="1" ht="14.5" x14ac:dyDescent="0.35">
      <c r="A142" s="38" t="s">
        <v>721</v>
      </c>
      <c r="B142" s="39">
        <v>2023</v>
      </c>
      <c r="C142" s="40">
        <v>1741120766</v>
      </c>
      <c r="D142" s="50">
        <v>78757</v>
      </c>
      <c r="E142" s="50">
        <v>15025</v>
      </c>
      <c r="F142" s="50">
        <v>89563</v>
      </c>
      <c r="G142" s="50">
        <v>9590</v>
      </c>
      <c r="H142" s="50">
        <v>1315</v>
      </c>
      <c r="I142" s="50">
        <v>37049</v>
      </c>
      <c r="J142" s="50">
        <v>40004</v>
      </c>
      <c r="K142" s="50">
        <v>49488</v>
      </c>
      <c r="L142" s="50">
        <v>5973</v>
      </c>
      <c r="M142" s="50">
        <v>9792</v>
      </c>
      <c r="N142" s="50">
        <v>8252</v>
      </c>
      <c r="O142" s="50">
        <v>37986</v>
      </c>
      <c r="P142" s="50">
        <v>8314</v>
      </c>
      <c r="Q142" s="50">
        <v>5460</v>
      </c>
      <c r="R142" s="50">
        <v>19700</v>
      </c>
      <c r="S142" s="50">
        <v>16319</v>
      </c>
      <c r="T142" s="50">
        <v>5733</v>
      </c>
      <c r="U142" s="50">
        <v>10205</v>
      </c>
      <c r="V142" s="50">
        <v>-2738</v>
      </c>
      <c r="W142" s="45">
        <v>1487758</v>
      </c>
      <c r="X142" s="44"/>
      <c r="Y142" s="44">
        <v>6042.7</v>
      </c>
      <c r="Z142" s="47"/>
    </row>
    <row r="143" spans="1:647" s="45" customFormat="1" ht="14.5" x14ac:dyDescent="0.35">
      <c r="A143" s="38" t="s">
        <v>722</v>
      </c>
      <c r="B143" s="39">
        <v>2017</v>
      </c>
      <c r="C143" s="40">
        <v>319282234</v>
      </c>
      <c r="D143" s="41">
        <v>20902.643390570502</v>
      </c>
      <c r="E143" s="41">
        <v>709.75359131441314</v>
      </c>
      <c r="F143" s="41">
        <v>4760.720515943196</v>
      </c>
      <c r="G143" s="41">
        <v>224.6690622617011</v>
      </c>
      <c r="H143" s="41">
        <v>670.37605988945052</v>
      </c>
      <c r="I143" s="41">
        <v>3155.6829965408006</v>
      </c>
      <c r="J143" s="41">
        <v>8559.0719487991519</v>
      </c>
      <c r="K143" s="41">
        <v>7202.8533243097254</v>
      </c>
      <c r="L143" s="41">
        <v>1230.1943848737369</v>
      </c>
      <c r="M143" s="41">
        <v>1821.2615645650149</v>
      </c>
      <c r="N143" s="41">
        <v>1455.0182367546513</v>
      </c>
      <c r="O143" s="41">
        <v>4501.0986833107581</v>
      </c>
      <c r="P143" s="41">
        <v>2557.1176361613943</v>
      </c>
      <c r="Q143" s="41">
        <v>1182.1378949342597</v>
      </c>
      <c r="R143" s="41">
        <v>10453.175770581769</v>
      </c>
      <c r="S143" s="41">
        <v>8606.9116432542069</v>
      </c>
      <c r="T143" s="41">
        <v>3341.3427365014122</v>
      </c>
      <c r="U143" s="41">
        <v>3907.0133126404448</v>
      </c>
      <c r="V143" s="42">
        <v>-630.09742024524212</v>
      </c>
      <c r="W143" s="43"/>
      <c r="X143" s="44"/>
      <c r="Y143" s="44">
        <v>8169.8</v>
      </c>
      <c r="Z143" s="44">
        <v>84610.945332961346</v>
      </c>
    </row>
    <row r="144" spans="1:647" s="45" customFormat="1" ht="14.5" x14ac:dyDescent="0.35">
      <c r="A144" s="38" t="s">
        <v>722</v>
      </c>
      <c r="B144" s="39">
        <v>2018</v>
      </c>
      <c r="C144" s="40">
        <v>511702072</v>
      </c>
      <c r="D144" s="41">
        <v>25358.835665939696</v>
      </c>
      <c r="E144" s="41">
        <v>664.98786107656781</v>
      </c>
      <c r="F144" s="41">
        <v>4892.6407723591728</v>
      </c>
      <c r="G144" s="41">
        <v>195.11520705946273</v>
      </c>
      <c r="H144" s="41">
        <v>658.16371088774974</v>
      </c>
      <c r="I144" s="41">
        <v>3754.0982116980404</v>
      </c>
      <c r="J144" s="41">
        <v>9041.2774283195613</v>
      </c>
      <c r="K144" s="41">
        <v>11539.245515069215</v>
      </c>
      <c r="L144" s="41">
        <v>1443.2810337758951</v>
      </c>
      <c r="M144" s="41">
        <v>1938.6821205020403</v>
      </c>
      <c r="N144" s="41">
        <v>1084.5551290725268</v>
      </c>
      <c r="O144" s="41">
        <v>5002.1699822727987</v>
      </c>
      <c r="P144" s="41">
        <v>2716.8352435492193</v>
      </c>
      <c r="Q144" s="41">
        <v>1381.5414476761766</v>
      </c>
      <c r="R144" s="41">
        <v>10598.33532468402</v>
      </c>
      <c r="S144" s="41">
        <v>9645.8472432477975</v>
      </c>
      <c r="T144" s="41">
        <v>3589.9655999657657</v>
      </c>
      <c r="U144" s="41">
        <v>4314.2770176719587</v>
      </c>
      <c r="V144" s="42">
        <v>-550.57960603181812</v>
      </c>
      <c r="W144" s="43"/>
      <c r="X144" s="44"/>
      <c r="Y144" s="44">
        <v>8169.8</v>
      </c>
      <c r="Z144" s="44">
        <v>97269.274908795851</v>
      </c>
    </row>
    <row r="145" spans="1:26" s="45" customFormat="1" x14ac:dyDescent="0.3">
      <c r="A145" s="38" t="s">
        <v>722</v>
      </c>
      <c r="B145" s="39">
        <v>2019</v>
      </c>
      <c r="C145" s="40">
        <v>465939456</v>
      </c>
      <c r="D145" s="46"/>
      <c r="E145" s="46"/>
      <c r="F145" s="46"/>
      <c r="G145" s="46"/>
      <c r="H145" s="46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5">
        <v>987653</v>
      </c>
      <c r="X145" s="44"/>
      <c r="Y145" s="44">
        <v>8169.8</v>
      </c>
      <c r="Z145" s="47">
        <v>108701</v>
      </c>
    </row>
    <row r="146" spans="1:26" s="45" customFormat="1" x14ac:dyDescent="0.3">
      <c r="A146" s="38" t="s">
        <v>722</v>
      </c>
      <c r="B146" s="39">
        <v>2020</v>
      </c>
      <c r="C146" s="40">
        <v>527527341</v>
      </c>
      <c r="D146" s="46">
        <v>31831</v>
      </c>
      <c r="E146" s="46">
        <v>741</v>
      </c>
      <c r="F146" s="46">
        <v>5155</v>
      </c>
      <c r="G146" s="46">
        <v>226</v>
      </c>
      <c r="H146" s="46">
        <v>688</v>
      </c>
      <c r="I146" s="40">
        <v>5170</v>
      </c>
      <c r="J146" s="40">
        <v>10006</v>
      </c>
      <c r="K146" s="40">
        <v>12983</v>
      </c>
      <c r="L146" s="40">
        <v>1123</v>
      </c>
      <c r="M146" s="40">
        <v>2275</v>
      </c>
      <c r="N146" s="40">
        <v>1212</v>
      </c>
      <c r="O146" s="40">
        <v>5646</v>
      </c>
      <c r="P146" s="40">
        <v>2643</v>
      </c>
      <c r="Q146" s="40">
        <v>1314</v>
      </c>
      <c r="R146" s="40">
        <v>12454</v>
      </c>
      <c r="S146" s="40">
        <v>9168</v>
      </c>
      <c r="T146" s="40">
        <v>4025</v>
      </c>
      <c r="U146" s="40">
        <v>4128</v>
      </c>
      <c r="V146" s="40">
        <v>-582</v>
      </c>
      <c r="W146" s="45">
        <v>1007527</v>
      </c>
      <c r="X146" s="44"/>
      <c r="Y146" s="44">
        <v>8169.8</v>
      </c>
      <c r="Z146" s="47">
        <v>110207</v>
      </c>
    </row>
    <row r="147" spans="1:26" s="45" customFormat="1" x14ac:dyDescent="0.3">
      <c r="A147" s="38" t="s">
        <v>722</v>
      </c>
      <c r="B147" s="39">
        <v>2021</v>
      </c>
      <c r="C147" s="40">
        <v>749406507</v>
      </c>
      <c r="D147" s="46">
        <v>34376</v>
      </c>
      <c r="E147" s="46">
        <v>885</v>
      </c>
      <c r="F147" s="46">
        <v>5084</v>
      </c>
      <c r="G147" s="46">
        <v>220</v>
      </c>
      <c r="H147" s="46">
        <v>695</v>
      </c>
      <c r="I147" s="40">
        <v>5900</v>
      </c>
      <c r="J147" s="40">
        <v>10975</v>
      </c>
      <c r="K147" s="40">
        <v>16964</v>
      </c>
      <c r="L147" s="40">
        <v>1929</v>
      </c>
      <c r="M147" s="40">
        <v>2376</v>
      </c>
      <c r="N147" s="40">
        <v>1439</v>
      </c>
      <c r="O147" s="40">
        <v>6053</v>
      </c>
      <c r="P147" s="40">
        <v>2970</v>
      </c>
      <c r="Q147" s="40">
        <v>1497</v>
      </c>
      <c r="R147" s="40">
        <v>12339</v>
      </c>
      <c r="S147" s="40">
        <v>11655</v>
      </c>
      <c r="T147" s="40">
        <v>4238</v>
      </c>
      <c r="U147" s="40">
        <v>4630</v>
      </c>
      <c r="V147" s="40">
        <v>-614</v>
      </c>
      <c r="W147" s="45">
        <v>1019118</v>
      </c>
      <c r="X147" s="44"/>
      <c r="Y147" s="44">
        <v>8169.8</v>
      </c>
      <c r="Z147" s="47">
        <v>123610</v>
      </c>
    </row>
    <row r="148" spans="1:26" s="45" customFormat="1" x14ac:dyDescent="0.3">
      <c r="A148" s="38" t="s">
        <v>722</v>
      </c>
      <c r="B148" s="39">
        <v>2022</v>
      </c>
      <c r="C148" s="40">
        <v>891595987</v>
      </c>
      <c r="D148" s="46">
        <v>33401</v>
      </c>
      <c r="E148" s="46">
        <v>1147</v>
      </c>
      <c r="F148" s="46">
        <v>4950</v>
      </c>
      <c r="G148" s="46">
        <v>204</v>
      </c>
      <c r="H148" s="46">
        <v>732</v>
      </c>
      <c r="I148" s="40">
        <v>6580</v>
      </c>
      <c r="J148" s="40">
        <v>12138</v>
      </c>
      <c r="K148" s="40">
        <v>9868</v>
      </c>
      <c r="L148" s="40">
        <v>2126</v>
      </c>
      <c r="M148" s="40">
        <v>2624</v>
      </c>
      <c r="N148" s="40">
        <v>1688</v>
      </c>
      <c r="O148" s="40">
        <v>6504</v>
      </c>
      <c r="P148" s="40">
        <v>3115</v>
      </c>
      <c r="Q148" s="40">
        <v>1849</v>
      </c>
      <c r="R148" s="40">
        <v>12910</v>
      </c>
      <c r="S148" s="40">
        <v>12117</v>
      </c>
      <c r="T148" s="40">
        <v>4218</v>
      </c>
      <c r="U148" s="40">
        <v>5027</v>
      </c>
      <c r="V148" s="40">
        <v>-660</v>
      </c>
      <c r="W148" s="45">
        <v>1030709</v>
      </c>
      <c r="X148" s="45">
        <v>477878</v>
      </c>
      <c r="Y148" s="44">
        <v>8169.8</v>
      </c>
      <c r="Z148" s="47">
        <v>120539</v>
      </c>
    </row>
    <row r="149" spans="1:26" s="45" customFormat="1" ht="14.5" x14ac:dyDescent="0.35">
      <c r="A149" s="38" t="s">
        <v>722</v>
      </c>
      <c r="B149" s="39">
        <v>2023</v>
      </c>
      <c r="C149" s="40">
        <v>1033785467</v>
      </c>
      <c r="D149" s="50">
        <v>39359</v>
      </c>
      <c r="E149" s="15">
        <v>994</v>
      </c>
      <c r="F149" s="50">
        <v>5548</v>
      </c>
      <c r="G149" s="15">
        <v>576</v>
      </c>
      <c r="H149" s="15">
        <v>663</v>
      </c>
      <c r="I149" s="50">
        <v>6943</v>
      </c>
      <c r="J149" s="50">
        <v>13312</v>
      </c>
      <c r="K149" s="50">
        <v>26150</v>
      </c>
      <c r="L149" s="50">
        <v>2753</v>
      </c>
      <c r="M149" s="50">
        <v>2776</v>
      </c>
      <c r="N149" s="50">
        <v>1961</v>
      </c>
      <c r="O149" s="50">
        <v>7080</v>
      </c>
      <c r="P149" s="50">
        <v>3415</v>
      </c>
      <c r="Q149" s="50">
        <v>2191</v>
      </c>
      <c r="R149" s="50">
        <v>15814</v>
      </c>
      <c r="S149" s="50">
        <v>12075</v>
      </c>
      <c r="T149" s="50">
        <v>4928</v>
      </c>
      <c r="U149" s="50">
        <v>5465</v>
      </c>
      <c r="V149" s="15">
        <v>-879</v>
      </c>
      <c r="W149" s="45">
        <v>1042300</v>
      </c>
      <c r="X149" s="44"/>
      <c r="Y149" s="44">
        <v>8169.8</v>
      </c>
      <c r="Z149" s="47"/>
    </row>
    <row r="150" spans="1:26" s="45" customFormat="1" ht="14.5" x14ac:dyDescent="0.35">
      <c r="A150" s="38" t="s">
        <v>723</v>
      </c>
      <c r="B150" s="39">
        <v>2017</v>
      </c>
      <c r="C150" s="40">
        <v>61813295</v>
      </c>
      <c r="D150" s="41">
        <v>10347.287926572866</v>
      </c>
      <c r="E150" s="41">
        <v>197.800181185984</v>
      </c>
      <c r="F150" s="41">
        <v>916.13260057592333</v>
      </c>
      <c r="G150" s="41">
        <v>191.17982639390794</v>
      </c>
      <c r="H150" s="41">
        <v>313.52192080409827</v>
      </c>
      <c r="I150" s="41">
        <v>2500.3369693176023</v>
      </c>
      <c r="J150" s="41">
        <v>1225.6748162366225</v>
      </c>
      <c r="K150" s="41">
        <v>1182.5829273122629</v>
      </c>
      <c r="L150" s="41">
        <v>86.786199991092559</v>
      </c>
      <c r="M150" s="41">
        <v>603.68828362059799</v>
      </c>
      <c r="N150" s="41">
        <v>302.1212753890232</v>
      </c>
      <c r="O150" s="41">
        <v>2672.3094908158191</v>
      </c>
      <c r="P150" s="41">
        <v>188.93242323698419</v>
      </c>
      <c r="Q150" s="41">
        <v>245.88150435628586</v>
      </c>
      <c r="R150" s="41">
        <v>10552.370351344154</v>
      </c>
      <c r="S150" s="41">
        <v>2469.4730202492601</v>
      </c>
      <c r="T150" s="41">
        <v>2452.6076491717313</v>
      </c>
      <c r="U150" s="41">
        <v>855.97568873735372</v>
      </c>
      <c r="V150" s="42">
        <v>-145.30013363305267</v>
      </c>
      <c r="W150" s="43"/>
      <c r="X150" s="44"/>
      <c r="Y150" s="44">
        <v>25939.8</v>
      </c>
      <c r="Z150" s="44">
        <v>37159.362921678512</v>
      </c>
    </row>
    <row r="151" spans="1:26" s="45" customFormat="1" ht="14.5" x14ac:dyDescent="0.35">
      <c r="A151" s="38" t="s">
        <v>723</v>
      </c>
      <c r="B151" s="39">
        <v>2018</v>
      </c>
      <c r="C151" s="40">
        <v>94234580</v>
      </c>
      <c r="D151" s="41">
        <v>13695.506309252709</v>
      </c>
      <c r="E151" s="41">
        <v>185.32448587379758</v>
      </c>
      <c r="F151" s="41">
        <v>957.96418059307211</v>
      </c>
      <c r="G151" s="41">
        <v>385.27834063657144</v>
      </c>
      <c r="H151" s="41">
        <v>319.95280926223563</v>
      </c>
      <c r="I151" s="41">
        <v>2992.5189788626653</v>
      </c>
      <c r="J151" s="41">
        <v>1271.3125409323109</v>
      </c>
      <c r="K151" s="41">
        <v>1508.0861667208417</v>
      </c>
      <c r="L151" s="41">
        <v>101.81876781487793</v>
      </c>
      <c r="M151" s="41">
        <v>643.0293631612908</v>
      </c>
      <c r="N151" s="41">
        <v>415.72409554972245</v>
      </c>
      <c r="O151" s="41">
        <v>2969.4378940832926</v>
      </c>
      <c r="P151" s="41">
        <v>200.73314533543777</v>
      </c>
      <c r="Q151" s="41">
        <v>287.35690729554881</v>
      </c>
      <c r="R151" s="41">
        <v>11534.537837203487</v>
      </c>
      <c r="S151" s="41">
        <v>2804.8092572842515</v>
      </c>
      <c r="T151" s="41">
        <v>2976.8315728305465</v>
      </c>
      <c r="U151" s="41">
        <v>941.49003501584184</v>
      </c>
      <c r="V151" s="42">
        <v>-68.587813561677763</v>
      </c>
      <c r="W151" s="43"/>
      <c r="X151" s="44"/>
      <c r="Y151" s="44">
        <v>25939.8</v>
      </c>
      <c r="Z151" s="44">
        <v>44123.124874146823</v>
      </c>
    </row>
    <row r="152" spans="1:26" s="45" customFormat="1" x14ac:dyDescent="0.3">
      <c r="A152" s="38" t="s">
        <v>723</v>
      </c>
      <c r="B152" s="39">
        <v>2019</v>
      </c>
      <c r="C152" s="40">
        <v>124961836</v>
      </c>
      <c r="D152" s="46"/>
      <c r="E152" s="46"/>
      <c r="F152" s="46"/>
      <c r="G152" s="46"/>
      <c r="H152" s="46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5">
        <v>867457</v>
      </c>
      <c r="X152" s="44"/>
      <c r="Y152" s="44">
        <v>25939.8</v>
      </c>
      <c r="Z152" s="47">
        <v>49834</v>
      </c>
    </row>
    <row r="153" spans="1:26" s="45" customFormat="1" x14ac:dyDescent="0.3">
      <c r="A153" s="38" t="s">
        <v>723</v>
      </c>
      <c r="B153" s="39">
        <v>2020</v>
      </c>
      <c r="C153" s="40">
        <v>143313898</v>
      </c>
      <c r="D153" s="46">
        <v>20351</v>
      </c>
      <c r="E153" s="46">
        <v>207</v>
      </c>
      <c r="F153" s="46">
        <v>1088</v>
      </c>
      <c r="G153" s="46">
        <v>449</v>
      </c>
      <c r="H153" s="46">
        <v>338</v>
      </c>
      <c r="I153" s="40">
        <v>4114</v>
      </c>
      <c r="J153" s="40">
        <v>1348</v>
      </c>
      <c r="K153" s="40">
        <v>1701</v>
      </c>
      <c r="L153" s="40">
        <v>79</v>
      </c>
      <c r="M153" s="40">
        <v>753</v>
      </c>
      <c r="N153" s="40">
        <v>587</v>
      </c>
      <c r="O153" s="40">
        <v>3351</v>
      </c>
      <c r="P153" s="40">
        <v>195</v>
      </c>
      <c r="Q153" s="40">
        <v>273</v>
      </c>
      <c r="R153" s="40">
        <v>15218</v>
      </c>
      <c r="S153" s="40">
        <v>2915</v>
      </c>
      <c r="T153" s="40">
        <v>3219</v>
      </c>
      <c r="U153" s="40">
        <v>846</v>
      </c>
      <c r="V153" s="40">
        <v>-68</v>
      </c>
      <c r="W153" s="45">
        <v>887280</v>
      </c>
      <c r="X153" s="44"/>
      <c r="Y153" s="44">
        <v>25939.8</v>
      </c>
      <c r="Z153" s="47">
        <v>56964</v>
      </c>
    </row>
    <row r="154" spans="1:26" s="45" customFormat="1" x14ac:dyDescent="0.3">
      <c r="A154" s="38" t="s">
        <v>723</v>
      </c>
      <c r="B154" s="39">
        <v>2021</v>
      </c>
      <c r="C154" s="40">
        <v>132899851</v>
      </c>
      <c r="D154" s="46">
        <v>22435</v>
      </c>
      <c r="E154" s="46">
        <v>247</v>
      </c>
      <c r="F154" s="46">
        <v>1232</v>
      </c>
      <c r="G154" s="46">
        <v>438</v>
      </c>
      <c r="H154" s="46">
        <v>371</v>
      </c>
      <c r="I154" s="40">
        <v>4659</v>
      </c>
      <c r="J154" s="40">
        <v>1475</v>
      </c>
      <c r="K154" s="40">
        <v>2185</v>
      </c>
      <c r="L154" s="40">
        <v>136</v>
      </c>
      <c r="M154" s="40">
        <v>788</v>
      </c>
      <c r="N154" s="40">
        <v>740</v>
      </c>
      <c r="O154" s="40">
        <v>3589</v>
      </c>
      <c r="P154" s="40">
        <v>219</v>
      </c>
      <c r="Q154" s="40">
        <v>311</v>
      </c>
      <c r="R154" s="40">
        <v>15887</v>
      </c>
      <c r="S154" s="40">
        <v>3658</v>
      </c>
      <c r="T154" s="40">
        <v>3806</v>
      </c>
      <c r="U154" s="40">
        <v>966</v>
      </c>
      <c r="V154" s="40">
        <v>-161</v>
      </c>
      <c r="W154" s="45">
        <v>911265</v>
      </c>
      <c r="X154" s="44"/>
      <c r="Y154" s="44">
        <v>25939.8</v>
      </c>
      <c r="Z154" s="47">
        <v>62984</v>
      </c>
    </row>
    <row r="155" spans="1:26" s="45" customFormat="1" x14ac:dyDescent="0.3">
      <c r="A155" s="38" t="s">
        <v>723</v>
      </c>
      <c r="B155" s="39">
        <v>2022</v>
      </c>
      <c r="C155" s="40">
        <v>123260280</v>
      </c>
      <c r="D155" s="46">
        <v>18328</v>
      </c>
      <c r="E155" s="46">
        <v>320</v>
      </c>
      <c r="F155" s="46">
        <v>1348</v>
      </c>
      <c r="G155" s="46">
        <v>407</v>
      </c>
      <c r="H155" s="46">
        <v>344</v>
      </c>
      <c r="I155" s="40">
        <v>5231</v>
      </c>
      <c r="J155" s="40">
        <v>1661</v>
      </c>
      <c r="K155" s="40">
        <v>2743</v>
      </c>
      <c r="L155" s="40">
        <v>150</v>
      </c>
      <c r="M155" s="40">
        <v>869</v>
      </c>
      <c r="N155" s="40">
        <v>867</v>
      </c>
      <c r="O155" s="40">
        <v>3860</v>
      </c>
      <c r="P155" s="40">
        <v>230</v>
      </c>
      <c r="Q155" s="40">
        <v>385</v>
      </c>
      <c r="R155" s="40">
        <v>17825</v>
      </c>
      <c r="S155" s="40">
        <v>3859</v>
      </c>
      <c r="T155" s="40">
        <v>3801</v>
      </c>
      <c r="U155" s="40">
        <v>1089</v>
      </c>
      <c r="V155" s="40">
        <v>-170</v>
      </c>
      <c r="W155" s="45">
        <v>935251</v>
      </c>
      <c r="X155" s="45">
        <v>108402</v>
      </c>
      <c r="Y155" s="44">
        <v>25939.8</v>
      </c>
      <c r="Z155" s="47">
        <v>63146</v>
      </c>
    </row>
    <row r="156" spans="1:26" s="45" customFormat="1" ht="14.5" x14ac:dyDescent="0.35">
      <c r="A156" s="38" t="s">
        <v>723</v>
      </c>
      <c r="B156" s="39">
        <v>2023</v>
      </c>
      <c r="C156" s="40">
        <v>113620709</v>
      </c>
      <c r="D156" s="45">
        <v>24489</v>
      </c>
      <c r="E156" s="45">
        <v>277</v>
      </c>
      <c r="F156" s="45">
        <v>1501</v>
      </c>
      <c r="G156" s="45">
        <v>140</v>
      </c>
      <c r="H156" s="45">
        <v>308</v>
      </c>
      <c r="I156" s="45">
        <v>5507</v>
      </c>
      <c r="J156" s="45">
        <v>1844</v>
      </c>
      <c r="K156" s="45">
        <v>3274</v>
      </c>
      <c r="L156" s="45">
        <v>194</v>
      </c>
      <c r="M156" s="45">
        <v>919</v>
      </c>
      <c r="N156" s="50">
        <v>1007</v>
      </c>
      <c r="O156" s="50">
        <v>4196</v>
      </c>
      <c r="P156" s="15">
        <v>252</v>
      </c>
      <c r="Q156" s="15">
        <v>456</v>
      </c>
      <c r="R156" s="50">
        <v>17132</v>
      </c>
      <c r="S156" s="50">
        <v>4731</v>
      </c>
      <c r="T156" s="50">
        <v>2463</v>
      </c>
      <c r="U156" s="50">
        <v>1210</v>
      </c>
      <c r="V156" s="15">
        <v>-102</v>
      </c>
      <c r="W156" s="45">
        <v>959236</v>
      </c>
      <c r="X156" s="44"/>
      <c r="Y156" s="44">
        <v>25939.8</v>
      </c>
      <c r="Z156" s="47"/>
    </row>
    <row r="157" spans="1:26" s="45" customFormat="1" ht="14.5" x14ac:dyDescent="0.35">
      <c r="A157" s="38" t="s">
        <v>724</v>
      </c>
      <c r="B157" s="39">
        <v>2017</v>
      </c>
      <c r="C157" s="40">
        <v>83390480</v>
      </c>
      <c r="D157" s="41">
        <v>10285.583381673656</v>
      </c>
      <c r="E157" s="41">
        <v>79.99272033256706</v>
      </c>
      <c r="F157" s="41">
        <v>528.54380301626088</v>
      </c>
      <c r="G157" s="41">
        <v>110.32923506414068</v>
      </c>
      <c r="H157" s="41">
        <v>168.56123740053479</v>
      </c>
      <c r="I157" s="41">
        <v>7717.0001449643132</v>
      </c>
      <c r="J157" s="41">
        <v>1411.1358672768995</v>
      </c>
      <c r="K157" s="41">
        <v>1256.9653415776654</v>
      </c>
      <c r="L157" s="41">
        <v>119.33102498775224</v>
      </c>
      <c r="M157" s="41">
        <v>620.90719795420546</v>
      </c>
      <c r="N157" s="41">
        <v>1178.9879382037013</v>
      </c>
      <c r="O157" s="41">
        <v>1682.7679253554118</v>
      </c>
      <c r="P157" s="41">
        <v>293.41118263070814</v>
      </c>
      <c r="Q157" s="41">
        <v>302.68450132389307</v>
      </c>
      <c r="R157" s="41">
        <v>7528.7303383841318</v>
      </c>
      <c r="S157" s="41">
        <v>1322.0783223318895</v>
      </c>
      <c r="T157" s="41">
        <v>1634.4221242778535</v>
      </c>
      <c r="U157" s="41">
        <v>843.48155718273892</v>
      </c>
      <c r="V157" s="42">
        <v>-314.50798637480972</v>
      </c>
      <c r="W157" s="43"/>
      <c r="X157" s="44"/>
      <c r="Y157" s="44">
        <v>70944.100000000006</v>
      </c>
      <c r="Z157" s="44">
        <v>36770.405857563506</v>
      </c>
    </row>
    <row r="158" spans="1:26" s="45" customFormat="1" ht="14.5" x14ac:dyDescent="0.35">
      <c r="A158" s="38" t="s">
        <v>724</v>
      </c>
      <c r="B158" s="39">
        <v>2018</v>
      </c>
      <c r="C158" s="40">
        <v>124104970</v>
      </c>
      <c r="D158" s="41">
        <v>11973.643620773975</v>
      </c>
      <c r="E158" s="41">
        <v>74.947402375432873</v>
      </c>
      <c r="F158" s="41">
        <v>560.08304260274349</v>
      </c>
      <c r="G158" s="41">
        <v>2738.4740388052542</v>
      </c>
      <c r="H158" s="41">
        <v>171.77801179119612</v>
      </c>
      <c r="I158" s="41">
        <v>9247.8032286087346</v>
      </c>
      <c r="J158" s="41">
        <v>1463.6791933791537</v>
      </c>
      <c r="K158" s="41">
        <v>1684.6552033155685</v>
      </c>
      <c r="L158" s="41">
        <v>140.0008057454572</v>
      </c>
      <c r="M158" s="41">
        <v>660.93838830466802</v>
      </c>
      <c r="N158" s="41">
        <v>551.59815056175739</v>
      </c>
      <c r="O158" s="41">
        <v>1869.302976715544</v>
      </c>
      <c r="P158" s="41">
        <v>311.73764966839872</v>
      </c>
      <c r="Q158" s="41">
        <v>353.74145938482746</v>
      </c>
      <c r="R158" s="41">
        <v>7081.8557244517924</v>
      </c>
      <c r="S158" s="41">
        <v>1492.8492254466487</v>
      </c>
      <c r="T158" s="41">
        <v>2055.8879942035755</v>
      </c>
      <c r="U158" s="41">
        <v>930.05229193107482</v>
      </c>
      <c r="V158" s="42">
        <v>-155.98939600160779</v>
      </c>
      <c r="W158" s="43"/>
      <c r="X158" s="44"/>
      <c r="Y158" s="44">
        <v>70944.100000000006</v>
      </c>
      <c r="Z158" s="44">
        <v>43207.039012064197</v>
      </c>
    </row>
    <row r="159" spans="1:26" s="45" customFormat="1" x14ac:dyDescent="0.3">
      <c r="A159" s="38" t="s">
        <v>724</v>
      </c>
      <c r="B159" s="39">
        <v>2019</v>
      </c>
      <c r="C159" s="40">
        <v>134786605</v>
      </c>
      <c r="D159" s="46"/>
      <c r="E159" s="46"/>
      <c r="F159" s="46"/>
      <c r="G159" s="46"/>
      <c r="H159" s="46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5">
        <v>459785</v>
      </c>
      <c r="X159" s="44"/>
      <c r="Y159" s="44">
        <v>70944.100000000006</v>
      </c>
      <c r="Z159" s="47">
        <v>56341</v>
      </c>
    </row>
    <row r="160" spans="1:26" s="45" customFormat="1" x14ac:dyDescent="0.3">
      <c r="A160" s="38" t="s">
        <v>724</v>
      </c>
      <c r="B160" s="39">
        <v>2020</v>
      </c>
      <c r="C160" s="40">
        <v>107456569</v>
      </c>
      <c r="D160" s="46">
        <v>16725</v>
      </c>
      <c r="E160" s="46">
        <v>84</v>
      </c>
      <c r="F160" s="46">
        <v>629</v>
      </c>
      <c r="G160" s="46">
        <v>9967</v>
      </c>
      <c r="H160" s="46">
        <v>170</v>
      </c>
      <c r="I160" s="40">
        <v>12710</v>
      </c>
      <c r="J160" s="40">
        <v>1552</v>
      </c>
      <c r="K160" s="40">
        <v>1959</v>
      </c>
      <c r="L160" s="40">
        <v>109</v>
      </c>
      <c r="M160" s="40">
        <v>775</v>
      </c>
      <c r="N160" s="40">
        <v>669</v>
      </c>
      <c r="O160" s="40">
        <v>2109</v>
      </c>
      <c r="P160" s="40">
        <v>303</v>
      </c>
      <c r="Q160" s="40">
        <v>336</v>
      </c>
      <c r="R160" s="40">
        <v>7913</v>
      </c>
      <c r="S160" s="40">
        <v>1657</v>
      </c>
      <c r="T160" s="40">
        <v>2115</v>
      </c>
      <c r="U160" s="40">
        <v>870</v>
      </c>
      <c r="V160" s="40">
        <v>-167</v>
      </c>
      <c r="W160" s="45">
        <v>479579</v>
      </c>
      <c r="X160" s="44"/>
      <c r="Y160" s="44">
        <v>70944.100000000006</v>
      </c>
      <c r="Z160" s="47">
        <v>60486</v>
      </c>
    </row>
    <row r="161" spans="1:26" s="45" customFormat="1" x14ac:dyDescent="0.3">
      <c r="A161" s="38" t="s">
        <v>724</v>
      </c>
      <c r="B161" s="39">
        <v>2021</v>
      </c>
      <c r="C161" s="40">
        <v>79670942</v>
      </c>
      <c r="D161" s="46">
        <v>16863</v>
      </c>
      <c r="E161" s="46">
        <v>100</v>
      </c>
      <c r="F161" s="46">
        <v>690</v>
      </c>
      <c r="G161" s="46">
        <v>13598</v>
      </c>
      <c r="H161" s="46">
        <v>165</v>
      </c>
      <c r="I161" s="40">
        <v>14371</v>
      </c>
      <c r="J161" s="40">
        <v>1698</v>
      </c>
      <c r="K161" s="40">
        <v>2744</v>
      </c>
      <c r="L161" s="40">
        <v>187</v>
      </c>
      <c r="M161" s="40">
        <v>810</v>
      </c>
      <c r="N161" s="40">
        <v>772</v>
      </c>
      <c r="O161" s="40">
        <v>2253</v>
      </c>
      <c r="P161" s="40">
        <v>341</v>
      </c>
      <c r="Q161" s="40">
        <v>383</v>
      </c>
      <c r="R161" s="40">
        <v>9477</v>
      </c>
      <c r="S161" s="40">
        <v>2065</v>
      </c>
      <c r="T161" s="40">
        <v>2263</v>
      </c>
      <c r="U161" s="40">
        <v>982</v>
      </c>
      <c r="V161" s="40">
        <v>-317</v>
      </c>
      <c r="W161" s="45">
        <v>491483</v>
      </c>
      <c r="X161" s="44"/>
      <c r="Y161" s="44">
        <v>70944.100000000006</v>
      </c>
      <c r="Z161" s="47">
        <v>69447</v>
      </c>
    </row>
    <row r="162" spans="1:26" s="45" customFormat="1" x14ac:dyDescent="0.3">
      <c r="A162" s="38" t="s">
        <v>724</v>
      </c>
      <c r="B162" s="39">
        <v>2022</v>
      </c>
      <c r="C162" s="40">
        <v>142663012</v>
      </c>
      <c r="D162" s="46">
        <v>17155</v>
      </c>
      <c r="E162" s="46">
        <v>129</v>
      </c>
      <c r="F162" s="46">
        <v>741</v>
      </c>
      <c r="G162" s="46">
        <v>14518</v>
      </c>
      <c r="H162" s="46">
        <v>153</v>
      </c>
      <c r="I162" s="40">
        <v>16157</v>
      </c>
      <c r="J162" s="40">
        <v>1913</v>
      </c>
      <c r="K162" s="40">
        <v>3435</v>
      </c>
      <c r="L162" s="40">
        <v>206</v>
      </c>
      <c r="M162" s="40">
        <v>895</v>
      </c>
      <c r="N162" s="40">
        <v>912</v>
      </c>
      <c r="O162" s="40">
        <v>2428</v>
      </c>
      <c r="P162" s="40">
        <v>357</v>
      </c>
      <c r="Q162" s="40">
        <v>474</v>
      </c>
      <c r="R162" s="40">
        <v>8989</v>
      </c>
      <c r="S162" s="40">
        <v>2174</v>
      </c>
      <c r="T162" s="40">
        <v>2492</v>
      </c>
      <c r="U162" s="40">
        <v>1081</v>
      </c>
      <c r="V162" s="40">
        <v>-345</v>
      </c>
      <c r="W162" s="45">
        <v>503388</v>
      </c>
      <c r="X162" s="45">
        <v>98210</v>
      </c>
      <c r="Y162" s="44">
        <v>70944.100000000006</v>
      </c>
      <c r="Z162" s="47">
        <v>73863</v>
      </c>
    </row>
    <row r="163" spans="1:26" s="45" customFormat="1" ht="14.5" x14ac:dyDescent="0.35">
      <c r="A163" s="38" t="s">
        <v>724</v>
      </c>
      <c r="B163" s="39">
        <v>2023</v>
      </c>
      <c r="C163" s="40">
        <v>205655082</v>
      </c>
      <c r="D163" s="45">
        <v>21600</v>
      </c>
      <c r="E163" s="45">
        <v>112</v>
      </c>
      <c r="F163" s="45">
        <v>814</v>
      </c>
      <c r="G163" s="50">
        <v>17383</v>
      </c>
      <c r="H163" s="15">
        <v>151</v>
      </c>
      <c r="I163" s="50">
        <v>17000</v>
      </c>
      <c r="J163" s="50">
        <v>2123</v>
      </c>
      <c r="K163" s="50">
        <v>4130</v>
      </c>
      <c r="L163" s="15">
        <v>267</v>
      </c>
      <c r="M163" s="15">
        <v>946</v>
      </c>
      <c r="N163" s="50">
        <v>1072</v>
      </c>
      <c r="O163" s="50">
        <v>2630</v>
      </c>
      <c r="P163" s="15">
        <v>392</v>
      </c>
      <c r="Q163" s="15">
        <v>561</v>
      </c>
      <c r="R163" s="50">
        <v>10625</v>
      </c>
      <c r="S163" s="50">
        <v>2282</v>
      </c>
      <c r="T163" s="50">
        <v>2757</v>
      </c>
      <c r="U163" s="50">
        <v>1184</v>
      </c>
      <c r="V163" s="15">
        <v>-230</v>
      </c>
      <c r="W163" s="45">
        <v>515292</v>
      </c>
      <c r="X163" s="44"/>
      <c r="Y163" s="44">
        <v>70944.100000000006</v>
      </c>
      <c r="Z163" s="47"/>
    </row>
    <row r="164" spans="1:26" s="45" customFormat="1" ht="14.5" x14ac:dyDescent="0.35">
      <c r="A164" s="38" t="s">
        <v>725</v>
      </c>
      <c r="B164" s="39">
        <v>2017</v>
      </c>
      <c r="C164" s="40">
        <v>441690937</v>
      </c>
      <c r="D164" s="41">
        <v>123763.16005118562</v>
      </c>
      <c r="E164" s="41">
        <v>3501.1359276467647</v>
      </c>
      <c r="F164" s="41">
        <v>13004.604232668771</v>
      </c>
      <c r="G164" s="41">
        <v>1454.2142096238276</v>
      </c>
      <c r="H164" s="41">
        <v>1005.282641751829</v>
      </c>
      <c r="I164" s="41">
        <v>4645.5924356098858</v>
      </c>
      <c r="J164" s="41">
        <v>8665.3472027690041</v>
      </c>
      <c r="K164" s="41">
        <v>27266.699823421288</v>
      </c>
      <c r="L164" s="41">
        <v>596.65512493876145</v>
      </c>
      <c r="M164" s="41">
        <v>3218.4807079034945</v>
      </c>
      <c r="N164" s="41">
        <v>6334.3006318044863</v>
      </c>
      <c r="O164" s="41">
        <v>15425.679935369328</v>
      </c>
      <c r="P164" s="41">
        <v>4324.5499825718907</v>
      </c>
      <c r="Q164" s="41">
        <v>1878.4711374812211</v>
      </c>
      <c r="R164" s="41">
        <v>11193.882232019096</v>
      </c>
      <c r="S164" s="41">
        <v>10419.82347414572</v>
      </c>
      <c r="T164" s="41">
        <v>5880.533112072515</v>
      </c>
      <c r="U164" s="41">
        <v>5735.5414214080001</v>
      </c>
      <c r="V164" s="42">
        <v>-2234.1734008525536</v>
      </c>
      <c r="W164" s="43"/>
      <c r="X164" s="44"/>
      <c r="Y164" s="44">
        <v>7006.3</v>
      </c>
      <c r="Z164" s="44">
        <v>246079.78088353894</v>
      </c>
    </row>
    <row r="165" spans="1:26" s="45" customFormat="1" ht="14.5" x14ac:dyDescent="0.35">
      <c r="A165" s="38" t="s">
        <v>725</v>
      </c>
      <c r="B165" s="39">
        <v>2018</v>
      </c>
      <c r="C165" s="40">
        <v>550089828</v>
      </c>
      <c r="D165" s="41">
        <v>135841.5100689033</v>
      </c>
      <c r="E165" s="41">
        <v>3280.3115339683773</v>
      </c>
      <c r="F165" s="41">
        <v>14560.761326162305</v>
      </c>
      <c r="G165" s="41">
        <v>1635.6226734732406</v>
      </c>
      <c r="H165" s="41">
        <v>1012.0394798802326</v>
      </c>
      <c r="I165" s="41">
        <v>5543.8281280854872</v>
      </c>
      <c r="J165" s="41">
        <v>9010.9573379235426</v>
      </c>
      <c r="K165" s="41">
        <v>27067.949165884696</v>
      </c>
      <c r="L165" s="41">
        <v>700.00402872728591</v>
      </c>
      <c r="M165" s="41">
        <v>3425.9829148063673</v>
      </c>
      <c r="N165" s="41">
        <v>5630.5368374614454</v>
      </c>
      <c r="O165" s="41">
        <v>17157.68116071825</v>
      </c>
      <c r="P165" s="41">
        <v>4594.661441848476</v>
      </c>
      <c r="Q165" s="41">
        <v>2195.332495316075</v>
      </c>
      <c r="R165" s="41">
        <v>13088.647941753412</v>
      </c>
      <c r="S165" s="41">
        <v>11587.401863549912</v>
      </c>
      <c r="T165" s="41">
        <v>6652.906943474979</v>
      </c>
      <c r="U165" s="41">
        <v>6332.8287136357767</v>
      </c>
      <c r="V165" s="42">
        <v>-2058.7310903635512</v>
      </c>
      <c r="W165" s="43"/>
      <c r="X165" s="44"/>
      <c r="Y165" s="44">
        <v>7006.3</v>
      </c>
      <c r="Z165" s="44">
        <v>267260.23296520964</v>
      </c>
    </row>
    <row r="166" spans="1:26" s="45" customFormat="1" x14ac:dyDescent="0.3">
      <c r="A166" s="38" t="s">
        <v>725</v>
      </c>
      <c r="B166" s="39">
        <v>2019</v>
      </c>
      <c r="C166" s="40">
        <v>605909949</v>
      </c>
      <c r="D166" s="46"/>
      <c r="E166" s="46"/>
      <c r="F166" s="46"/>
      <c r="G166" s="46"/>
      <c r="H166" s="46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5">
        <v>1545714</v>
      </c>
      <c r="X166" s="44"/>
      <c r="Y166" s="44">
        <v>7006.3</v>
      </c>
      <c r="Z166" s="47">
        <v>306874</v>
      </c>
    </row>
    <row r="167" spans="1:26" s="45" customFormat="1" x14ac:dyDescent="0.3">
      <c r="A167" s="38" t="s">
        <v>725</v>
      </c>
      <c r="B167" s="39">
        <v>2020</v>
      </c>
      <c r="C167" s="40">
        <v>651174269.35000002</v>
      </c>
      <c r="D167" s="46">
        <v>182778</v>
      </c>
      <c r="E167" s="46">
        <v>3655</v>
      </c>
      <c r="F167" s="46">
        <v>16334</v>
      </c>
      <c r="G167" s="46">
        <v>1852</v>
      </c>
      <c r="H167" s="46">
        <v>1009</v>
      </c>
      <c r="I167" s="40">
        <v>7628</v>
      </c>
      <c r="J167" s="40">
        <v>9614</v>
      </c>
      <c r="K167" s="40">
        <v>31444</v>
      </c>
      <c r="L167" s="40">
        <v>545</v>
      </c>
      <c r="M167" s="40">
        <v>4020</v>
      </c>
      <c r="N167" s="40">
        <v>6602</v>
      </c>
      <c r="O167" s="40">
        <v>19385</v>
      </c>
      <c r="P167" s="40">
        <v>4470</v>
      </c>
      <c r="Q167" s="40">
        <v>2088</v>
      </c>
      <c r="R167" s="40">
        <v>15654</v>
      </c>
      <c r="S167" s="40">
        <v>11972</v>
      </c>
      <c r="T167" s="40">
        <v>6939</v>
      </c>
      <c r="U167" s="40">
        <v>6051</v>
      </c>
      <c r="V167" s="40">
        <v>-2062</v>
      </c>
      <c r="W167" s="45">
        <v>1565421</v>
      </c>
      <c r="X167" s="44"/>
      <c r="Y167" s="44">
        <v>7006.3</v>
      </c>
      <c r="Z167" s="47">
        <v>329977</v>
      </c>
    </row>
    <row r="168" spans="1:26" s="45" customFormat="1" x14ac:dyDescent="0.3">
      <c r="A168" s="38" t="s">
        <v>725</v>
      </c>
      <c r="B168" s="39">
        <v>2021</v>
      </c>
      <c r="C168" s="40">
        <v>435922405</v>
      </c>
      <c r="D168" s="46">
        <v>211033</v>
      </c>
      <c r="E168" s="46">
        <v>4367</v>
      </c>
      <c r="F168" s="46">
        <v>17669</v>
      </c>
      <c r="G168" s="46">
        <v>1805</v>
      </c>
      <c r="H168" s="46">
        <v>1002</v>
      </c>
      <c r="I168" s="40">
        <v>8671</v>
      </c>
      <c r="J168" s="40">
        <v>10523</v>
      </c>
      <c r="K168" s="40">
        <v>39267</v>
      </c>
      <c r="L168" s="40">
        <v>936</v>
      </c>
      <c r="M168" s="40">
        <v>4199</v>
      </c>
      <c r="N168" s="40">
        <v>8066</v>
      </c>
      <c r="O168" s="40">
        <v>20926</v>
      </c>
      <c r="P168" s="40">
        <v>5023</v>
      </c>
      <c r="Q168" s="40">
        <v>2379</v>
      </c>
      <c r="R168" s="40">
        <v>15580</v>
      </c>
      <c r="S168" s="40">
        <v>15154</v>
      </c>
      <c r="T168" s="40">
        <v>7696</v>
      </c>
      <c r="U168" s="40">
        <v>6789</v>
      </c>
      <c r="V168" s="40">
        <v>-2252</v>
      </c>
      <c r="W168" s="45">
        <v>1585608</v>
      </c>
      <c r="X168" s="44"/>
      <c r="Y168" s="44">
        <v>7006.3</v>
      </c>
      <c r="Z168" s="47">
        <v>378832</v>
      </c>
    </row>
    <row r="169" spans="1:26" s="45" customFormat="1" x14ac:dyDescent="0.3">
      <c r="A169" s="38" t="s">
        <v>725</v>
      </c>
      <c r="B169" s="39">
        <v>2022</v>
      </c>
      <c r="C169" s="40">
        <v>826887855</v>
      </c>
      <c r="D169" s="46">
        <v>214119</v>
      </c>
      <c r="E169" s="46">
        <v>5660</v>
      </c>
      <c r="F169" s="46">
        <v>19637</v>
      </c>
      <c r="G169" s="46">
        <v>1689</v>
      </c>
      <c r="H169" s="46">
        <v>1004</v>
      </c>
      <c r="I169" s="40">
        <v>9704</v>
      </c>
      <c r="J169" s="40">
        <v>11821</v>
      </c>
      <c r="K169" s="40">
        <v>50606</v>
      </c>
      <c r="L169" s="40">
        <v>1031</v>
      </c>
      <c r="M169" s="40">
        <v>4638</v>
      </c>
      <c r="N169" s="40">
        <v>9414</v>
      </c>
      <c r="O169" s="40">
        <v>22355</v>
      </c>
      <c r="P169" s="40">
        <v>5269</v>
      </c>
      <c r="Q169" s="40">
        <v>2939</v>
      </c>
      <c r="R169" s="40">
        <v>20073</v>
      </c>
      <c r="S169" s="40">
        <v>15725</v>
      </c>
      <c r="T169" s="40">
        <v>6789</v>
      </c>
      <c r="U169" s="40">
        <v>7377</v>
      </c>
      <c r="V169" s="40">
        <v>-2429</v>
      </c>
      <c r="W169" s="45">
        <v>1605795</v>
      </c>
      <c r="X169" s="45">
        <v>771570</v>
      </c>
      <c r="Y169" s="44">
        <v>7006.3</v>
      </c>
      <c r="Z169" s="47">
        <v>407419</v>
      </c>
    </row>
    <row r="170" spans="1:26" s="45" customFormat="1" ht="14.5" x14ac:dyDescent="0.35">
      <c r="A170" s="38" t="s">
        <v>725</v>
      </c>
      <c r="B170" s="39">
        <v>2023</v>
      </c>
      <c r="C170" s="40">
        <v>1217853305</v>
      </c>
      <c r="D170" s="50">
        <v>274829</v>
      </c>
      <c r="E170" s="50">
        <v>4902</v>
      </c>
      <c r="F170" s="50">
        <v>22197</v>
      </c>
      <c r="G170" s="50">
        <v>1074</v>
      </c>
      <c r="H170" s="15">
        <v>992</v>
      </c>
      <c r="I170" s="50">
        <v>10226</v>
      </c>
      <c r="J170" s="50">
        <v>13100</v>
      </c>
      <c r="K170" s="50">
        <v>58882</v>
      </c>
      <c r="L170" s="50">
        <v>1335</v>
      </c>
      <c r="M170" s="50">
        <v>4905</v>
      </c>
      <c r="N170" s="50">
        <v>10956</v>
      </c>
      <c r="O170" s="50">
        <v>24579</v>
      </c>
      <c r="P170" s="50">
        <v>5776</v>
      </c>
      <c r="Q170" s="50">
        <v>3482</v>
      </c>
      <c r="R170" s="50">
        <v>18056</v>
      </c>
      <c r="S170" s="50">
        <v>16418</v>
      </c>
      <c r="T170" s="50">
        <v>7324</v>
      </c>
      <c r="U170" s="50">
        <v>8024</v>
      </c>
      <c r="V170" s="50">
        <v>-3083</v>
      </c>
      <c r="W170" s="45">
        <v>1625982</v>
      </c>
      <c r="X170" s="44"/>
      <c r="Y170" s="44">
        <v>7006.3</v>
      </c>
      <c r="Z170" s="47"/>
    </row>
    <row r="171" spans="1:26" s="45" customFormat="1" ht="14.5" x14ac:dyDescent="0.35">
      <c r="A171" s="38" t="s">
        <v>726</v>
      </c>
      <c r="B171" s="39">
        <v>2017</v>
      </c>
      <c r="C171" s="40">
        <v>222251290</v>
      </c>
      <c r="D171" s="41">
        <v>39256.302583018092</v>
      </c>
      <c r="E171" s="41">
        <v>6703.0263605948803</v>
      </c>
      <c r="F171" s="41">
        <v>3770.6562667060898</v>
      </c>
      <c r="G171" s="41">
        <v>445.62927959109663</v>
      </c>
      <c r="H171" s="41">
        <v>632.77753336019816</v>
      </c>
      <c r="I171" s="41">
        <v>843.96725967225711</v>
      </c>
      <c r="J171" s="41">
        <v>3837.2891736249017</v>
      </c>
      <c r="K171" s="41">
        <v>8407.2962881345029</v>
      </c>
      <c r="L171" s="41">
        <v>991.53233489823219</v>
      </c>
      <c r="M171" s="41">
        <v>1699.2988630731925</v>
      </c>
      <c r="N171" s="41">
        <v>1236.1733620521666</v>
      </c>
      <c r="O171" s="41">
        <v>3990.2615732448971</v>
      </c>
      <c r="P171" s="41">
        <v>2069.5500923240152</v>
      </c>
      <c r="Q171" s="41">
        <v>832.580990518215</v>
      </c>
      <c r="R171" s="41">
        <v>7636.281492384509</v>
      </c>
      <c r="S171" s="41">
        <v>9221.6595028025022</v>
      </c>
      <c r="T171" s="41">
        <v>2684.3866373896853</v>
      </c>
      <c r="U171" s="41">
        <v>3191.480834805117</v>
      </c>
      <c r="V171" s="42">
        <v>-523.18018984714911</v>
      </c>
      <c r="W171" s="43"/>
      <c r="X171" s="44"/>
      <c r="Y171" s="44">
        <v>2613.5</v>
      </c>
      <c r="Z171" s="44">
        <v>96926.970238347407</v>
      </c>
    </row>
    <row r="172" spans="1:26" s="45" customFormat="1" ht="14.5" x14ac:dyDescent="0.35">
      <c r="A172" s="38" t="s">
        <v>726</v>
      </c>
      <c r="B172" s="39">
        <v>2018</v>
      </c>
      <c r="C172" s="40">
        <v>376224761</v>
      </c>
      <c r="D172" s="41">
        <v>41549.98669069101</v>
      </c>
      <c r="E172" s="41">
        <v>6280.2516490504759</v>
      </c>
      <c r="F172" s="41">
        <v>4102.5974872576808</v>
      </c>
      <c r="G172" s="41">
        <v>379.19312811790377</v>
      </c>
      <c r="H172" s="41">
        <v>627.37909778222911</v>
      </c>
      <c r="I172" s="41">
        <v>1001.3225185220774</v>
      </c>
      <c r="J172" s="41">
        <v>3999.6518899872344</v>
      </c>
      <c r="K172" s="41">
        <v>10656.154244870184</v>
      </c>
      <c r="L172" s="41">
        <v>1163.2794222849807</v>
      </c>
      <c r="M172" s="41">
        <v>1809.0316765736102</v>
      </c>
      <c r="N172" s="41">
        <v>813.08808905412695</v>
      </c>
      <c r="O172" s="41">
        <v>4433.4836849388867</v>
      </c>
      <c r="P172" s="41">
        <v>2198.8142233287354</v>
      </c>
      <c r="Q172" s="41">
        <v>973.02112712676922</v>
      </c>
      <c r="R172" s="41">
        <v>8346.6018102195121</v>
      </c>
      <c r="S172" s="41">
        <v>10553.247922881919</v>
      </c>
      <c r="T172" s="41">
        <v>2930.1347268039135</v>
      </c>
      <c r="U172" s="41">
        <v>3522.3774479486306</v>
      </c>
      <c r="V172" s="42">
        <v>-533.1390885650701</v>
      </c>
      <c r="W172" s="43"/>
      <c r="X172" s="44"/>
      <c r="Y172" s="44">
        <v>2613.5</v>
      </c>
      <c r="Z172" s="44">
        <v>104806.47774887479</v>
      </c>
    </row>
    <row r="173" spans="1:26" s="45" customFormat="1" x14ac:dyDescent="0.3">
      <c r="A173" s="38" t="s">
        <v>726</v>
      </c>
      <c r="B173" s="39">
        <v>2019</v>
      </c>
      <c r="C173" s="40">
        <v>305688447</v>
      </c>
      <c r="D173" s="46"/>
      <c r="E173" s="46"/>
      <c r="F173" s="46"/>
      <c r="G173" s="46"/>
      <c r="H173" s="46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5">
        <v>1116436</v>
      </c>
      <c r="X173" s="44"/>
      <c r="Y173" s="44">
        <v>2613.5</v>
      </c>
      <c r="Z173" s="47">
        <v>114146</v>
      </c>
    </row>
    <row r="174" spans="1:26" s="45" customFormat="1" x14ac:dyDescent="0.3">
      <c r="A174" s="38" t="s">
        <v>726</v>
      </c>
      <c r="B174" s="39">
        <v>2020</v>
      </c>
      <c r="C174" s="40">
        <v>288535257</v>
      </c>
      <c r="D174" s="46">
        <v>48833</v>
      </c>
      <c r="E174" s="46">
        <v>6998</v>
      </c>
      <c r="F174" s="46">
        <v>3505</v>
      </c>
      <c r="G174" s="46">
        <v>406</v>
      </c>
      <c r="H174" s="46">
        <v>638</v>
      </c>
      <c r="I174" s="40">
        <v>1380</v>
      </c>
      <c r="J174" s="40">
        <v>4291</v>
      </c>
      <c r="K174" s="40">
        <v>12432</v>
      </c>
      <c r="L174" s="40">
        <v>905</v>
      </c>
      <c r="M174" s="40">
        <v>2122</v>
      </c>
      <c r="N174" s="40">
        <v>1049</v>
      </c>
      <c r="O174" s="40">
        <v>5003</v>
      </c>
      <c r="P174" s="40">
        <v>2139</v>
      </c>
      <c r="Q174" s="40">
        <v>925</v>
      </c>
      <c r="R174" s="40">
        <v>10813</v>
      </c>
      <c r="S174" s="40">
        <v>13076</v>
      </c>
      <c r="T174" s="40">
        <v>3350</v>
      </c>
      <c r="U174" s="40">
        <v>3344</v>
      </c>
      <c r="V174" s="40">
        <v>-569</v>
      </c>
      <c r="W174" s="45">
        <v>1147197</v>
      </c>
      <c r="X174" s="44"/>
      <c r="Y174" s="44">
        <v>2613.5</v>
      </c>
      <c r="Z174" s="47">
        <v>120639</v>
      </c>
    </row>
    <row r="175" spans="1:26" s="45" customFormat="1" x14ac:dyDescent="0.3">
      <c r="A175" s="38" t="s">
        <v>726</v>
      </c>
      <c r="B175" s="39">
        <v>2021</v>
      </c>
      <c r="C175" s="40">
        <v>386686545</v>
      </c>
      <c r="D175" s="46">
        <v>53146</v>
      </c>
      <c r="E175" s="46">
        <v>8361</v>
      </c>
      <c r="F175" s="46">
        <v>4260</v>
      </c>
      <c r="G175" s="46">
        <v>379</v>
      </c>
      <c r="H175" s="46">
        <v>637</v>
      </c>
      <c r="I175" s="40">
        <v>1580</v>
      </c>
      <c r="J175" s="40">
        <v>4698</v>
      </c>
      <c r="K175" s="40">
        <v>16304</v>
      </c>
      <c r="L175" s="40">
        <v>1555</v>
      </c>
      <c r="M175" s="40">
        <v>2217</v>
      </c>
      <c r="N175" s="40">
        <v>1253</v>
      </c>
      <c r="O175" s="40">
        <v>5354</v>
      </c>
      <c r="P175" s="40">
        <v>2404</v>
      </c>
      <c r="Q175" s="40">
        <v>1054</v>
      </c>
      <c r="R175" s="40">
        <v>13904</v>
      </c>
      <c r="S175" s="40">
        <v>16568</v>
      </c>
      <c r="T175" s="40">
        <v>3787</v>
      </c>
      <c r="U175" s="40">
        <v>3759</v>
      </c>
      <c r="V175" s="40">
        <v>-501</v>
      </c>
      <c r="W175" s="45">
        <v>1176159</v>
      </c>
      <c r="X175" s="44"/>
      <c r="Y175" s="44">
        <v>2613.5</v>
      </c>
      <c r="Z175" s="47">
        <v>140719</v>
      </c>
    </row>
    <row r="176" spans="1:26" s="45" customFormat="1" x14ac:dyDescent="0.3">
      <c r="A176" s="38" t="s">
        <v>726</v>
      </c>
      <c r="B176" s="39">
        <v>2022</v>
      </c>
      <c r="C176" s="40">
        <v>406364909</v>
      </c>
      <c r="D176" s="46">
        <v>61688</v>
      </c>
      <c r="E176" s="46">
        <v>10836</v>
      </c>
      <c r="F176" s="46">
        <v>4957</v>
      </c>
      <c r="G176" s="46">
        <v>351</v>
      </c>
      <c r="H176" s="46">
        <v>657</v>
      </c>
      <c r="I176" s="40">
        <v>1757</v>
      </c>
      <c r="J176" s="40">
        <v>5265</v>
      </c>
      <c r="K176" s="40">
        <v>20649</v>
      </c>
      <c r="L176" s="40">
        <v>1714</v>
      </c>
      <c r="M176" s="40">
        <v>2448</v>
      </c>
      <c r="N176" s="40">
        <v>1466</v>
      </c>
      <c r="O176" s="40">
        <v>5761</v>
      </c>
      <c r="P176" s="40">
        <v>2521</v>
      </c>
      <c r="Q176" s="40">
        <v>1303</v>
      </c>
      <c r="R176" s="40">
        <v>11956</v>
      </c>
      <c r="S176" s="40">
        <v>17403</v>
      </c>
      <c r="T176" s="40">
        <v>3821</v>
      </c>
      <c r="U176" s="40">
        <v>4100</v>
      </c>
      <c r="V176" s="40">
        <v>-539</v>
      </c>
      <c r="W176" s="45">
        <v>1205120</v>
      </c>
      <c r="X176" s="45">
        <v>484898</v>
      </c>
      <c r="Y176" s="44">
        <v>2613.5</v>
      </c>
      <c r="Z176" s="47">
        <v>158115</v>
      </c>
    </row>
    <row r="177" spans="1:26" s="45" customFormat="1" ht="14.5" x14ac:dyDescent="0.35">
      <c r="A177" s="38" t="s">
        <v>726</v>
      </c>
      <c r="B177" s="39">
        <v>2023</v>
      </c>
      <c r="C177" s="40">
        <v>426043273</v>
      </c>
      <c r="D177" s="50">
        <v>58341</v>
      </c>
      <c r="E177" s="50">
        <v>9385</v>
      </c>
      <c r="F177" s="50">
        <v>5213</v>
      </c>
      <c r="G177" s="15">
        <v>386</v>
      </c>
      <c r="H177" s="15">
        <v>553</v>
      </c>
      <c r="I177" s="50">
        <v>1856</v>
      </c>
      <c r="J177" s="50">
        <v>5826</v>
      </c>
      <c r="K177" s="50">
        <v>24303</v>
      </c>
      <c r="L177" s="50">
        <v>2219</v>
      </c>
      <c r="M177" s="50">
        <v>2589</v>
      </c>
      <c r="N177" s="50">
        <v>1696</v>
      </c>
      <c r="O177" s="50">
        <v>6256</v>
      </c>
      <c r="P177" s="50">
        <v>2764</v>
      </c>
      <c r="Q177" s="50">
        <v>1543</v>
      </c>
      <c r="R177" s="50">
        <v>14967</v>
      </c>
      <c r="S177" s="50">
        <v>16035</v>
      </c>
      <c r="T177" s="50">
        <v>4015</v>
      </c>
      <c r="U177" s="50">
        <v>4470</v>
      </c>
      <c r="V177" s="15">
        <v>-861</v>
      </c>
      <c r="W177" s="45">
        <v>1234082</v>
      </c>
      <c r="X177" s="44"/>
      <c r="Y177" s="44">
        <v>2613.5</v>
      </c>
      <c r="Z177" s="47"/>
    </row>
    <row r="178" spans="1:26" s="45" customFormat="1" ht="14.5" x14ac:dyDescent="0.35">
      <c r="A178" s="38" t="s">
        <v>727</v>
      </c>
      <c r="B178" s="39">
        <v>2017</v>
      </c>
      <c r="C178" s="40">
        <v>3159156334</v>
      </c>
      <c r="D178" s="41">
        <v>2609.1512238713808</v>
      </c>
      <c r="E178" s="41">
        <v>1134.7214220492585</v>
      </c>
      <c r="F178" s="41">
        <v>75652.73085742991</v>
      </c>
      <c r="G178" s="41">
        <v>19719.147454147394</v>
      </c>
      <c r="H178" s="41">
        <v>1539.2847657109028</v>
      </c>
      <c r="I178" s="41">
        <v>38933.514354996812</v>
      </c>
      <c r="J178" s="41">
        <v>45622.780639366581</v>
      </c>
      <c r="K178" s="41">
        <v>86279.749857917093</v>
      </c>
      <c r="L178" s="41">
        <v>8094.9828041691562</v>
      </c>
      <c r="M178" s="41">
        <v>11176.898861719586</v>
      </c>
      <c r="N178" s="41">
        <v>36712.599194855648</v>
      </c>
      <c r="O178" s="41">
        <v>43143.700627759717</v>
      </c>
      <c r="P178" s="41">
        <v>6753.681138475974</v>
      </c>
      <c r="Q178" s="41">
        <v>4201.0384330728257</v>
      </c>
      <c r="R178" s="41">
        <v>13822.44514824872</v>
      </c>
      <c r="S178" s="41">
        <v>5511.7634462850028</v>
      </c>
      <c r="T178" s="41">
        <v>6464.5551566817221</v>
      </c>
      <c r="U178" s="41">
        <v>10130.300508647451</v>
      </c>
      <c r="V178" s="42">
        <v>-16110.04590474068</v>
      </c>
      <c r="W178" s="43"/>
      <c r="X178" s="44"/>
      <c r="Y178" s="44">
        <v>219.9</v>
      </c>
      <c r="Z178" s="44">
        <v>401392.99999066442</v>
      </c>
    </row>
    <row r="179" spans="1:26" s="45" customFormat="1" ht="14.5" x14ac:dyDescent="0.35">
      <c r="A179" s="38" t="s">
        <v>727</v>
      </c>
      <c r="B179" s="39">
        <v>2018</v>
      </c>
      <c r="C179" s="40">
        <v>3705398047</v>
      </c>
      <c r="D179" s="41">
        <v>3001.5149499402573</v>
      </c>
      <c r="E179" s="41">
        <v>1120.4657618480778</v>
      </c>
      <c r="F179" s="41">
        <v>75784.7928104194</v>
      </c>
      <c r="G179" s="41">
        <v>13833.447361848568</v>
      </c>
      <c r="H179" s="41">
        <v>1518.323585937731</v>
      </c>
      <c r="I179" s="41">
        <v>46645.486243568004</v>
      </c>
      <c r="J179" s="41">
        <v>49017.563262288531</v>
      </c>
      <c r="K179" s="41">
        <v>99543.978688372357</v>
      </c>
      <c r="L179" s="41">
        <v>9497.145567932741</v>
      </c>
      <c r="M179" s="41">
        <v>11910.049457121762</v>
      </c>
      <c r="N179" s="41">
        <v>37451.536988658918</v>
      </c>
      <c r="O179" s="41">
        <v>47986.607242314276</v>
      </c>
      <c r="P179" s="41">
        <v>7175.516167589818</v>
      </c>
      <c r="Q179" s="41">
        <v>4909.671488784692</v>
      </c>
      <c r="R179" s="41">
        <v>17275.341764288274</v>
      </c>
      <c r="S179" s="41">
        <v>6116.676741115245</v>
      </c>
      <c r="T179" s="41">
        <v>6843.2425257634313</v>
      </c>
      <c r="U179" s="41">
        <v>11193.962651836242</v>
      </c>
      <c r="V179" s="42">
        <v>-15298.426283970826</v>
      </c>
      <c r="W179" s="43"/>
      <c r="X179" s="44"/>
      <c r="Y179" s="44">
        <v>219.9</v>
      </c>
      <c r="Z179" s="44">
        <v>435526.89697565744</v>
      </c>
    </row>
    <row r="180" spans="1:26" s="45" customFormat="1" x14ac:dyDescent="0.3">
      <c r="A180" s="38" t="s">
        <v>727</v>
      </c>
      <c r="B180" s="39">
        <v>2019</v>
      </c>
      <c r="C180" s="40">
        <v>3139929445</v>
      </c>
      <c r="D180" s="46"/>
      <c r="E180" s="46"/>
      <c r="F180" s="46"/>
      <c r="G180" s="46"/>
      <c r="H180" s="46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5">
        <v>1208333</v>
      </c>
      <c r="Y180" s="44">
        <v>219.9</v>
      </c>
      <c r="Z180" s="47">
        <v>471343</v>
      </c>
    </row>
    <row r="181" spans="1:26" s="45" customFormat="1" x14ac:dyDescent="0.3">
      <c r="A181" s="38" t="s">
        <v>727</v>
      </c>
      <c r="B181" s="39">
        <v>2020</v>
      </c>
      <c r="C181" s="40">
        <v>3314532178</v>
      </c>
      <c r="D181" s="46">
        <v>3772</v>
      </c>
      <c r="E181" s="46">
        <v>1328</v>
      </c>
      <c r="F181" s="46">
        <v>75268</v>
      </c>
      <c r="G181" s="46">
        <v>9470</v>
      </c>
      <c r="H181" s="46">
        <v>1529</v>
      </c>
      <c r="I181" s="40">
        <v>64112</v>
      </c>
      <c r="J181" s="40">
        <v>56324</v>
      </c>
      <c r="K181" s="40">
        <v>104400</v>
      </c>
      <c r="L181" s="40">
        <v>7391</v>
      </c>
      <c r="M181" s="40">
        <v>13935</v>
      </c>
      <c r="N181" s="40">
        <v>41324</v>
      </c>
      <c r="O181" s="40">
        <v>54213</v>
      </c>
      <c r="P181" s="40">
        <v>6981</v>
      </c>
      <c r="Q181" s="40">
        <v>4669</v>
      </c>
      <c r="R181" s="40">
        <v>14253</v>
      </c>
      <c r="S181" s="40">
        <v>6663</v>
      </c>
      <c r="T181" s="40">
        <v>7907</v>
      </c>
      <c r="U181" s="40">
        <v>10825</v>
      </c>
      <c r="V181" s="40">
        <v>-15617</v>
      </c>
      <c r="W181" s="45">
        <v>1228079</v>
      </c>
      <c r="Y181" s="44">
        <v>219.9</v>
      </c>
      <c r="Z181" s="47">
        <v>468749</v>
      </c>
    </row>
    <row r="182" spans="1:26" s="45" customFormat="1" x14ac:dyDescent="0.3">
      <c r="A182" s="38" t="s">
        <v>727</v>
      </c>
      <c r="B182" s="39">
        <v>2021</v>
      </c>
      <c r="C182" s="40">
        <v>3608672111</v>
      </c>
      <c r="D182" s="46">
        <v>4461</v>
      </c>
      <c r="E182" s="46">
        <v>1603</v>
      </c>
      <c r="F182" s="46">
        <v>84676</v>
      </c>
      <c r="G182" s="46">
        <v>10136</v>
      </c>
      <c r="H182" s="46">
        <v>1695</v>
      </c>
      <c r="I182" s="40">
        <v>72513</v>
      </c>
      <c r="J182" s="40">
        <v>61898</v>
      </c>
      <c r="K182" s="40">
        <v>117375</v>
      </c>
      <c r="L182" s="40">
        <v>12693</v>
      </c>
      <c r="M182" s="40">
        <v>14581</v>
      </c>
      <c r="N182" s="40">
        <v>48316</v>
      </c>
      <c r="O182" s="40">
        <v>58511</v>
      </c>
      <c r="P182" s="40">
        <v>7845</v>
      </c>
      <c r="Q182" s="40">
        <v>5320</v>
      </c>
      <c r="R182" s="40">
        <v>14767</v>
      </c>
      <c r="S182" s="40">
        <v>8388</v>
      </c>
      <c r="T182" s="40">
        <v>8053</v>
      </c>
      <c r="U182" s="40">
        <v>12104</v>
      </c>
      <c r="V182" s="40">
        <v>-16535</v>
      </c>
      <c r="W182" s="45">
        <v>1256006</v>
      </c>
      <c r="Y182" s="44">
        <v>219.9</v>
      </c>
      <c r="Z182" s="47">
        <v>528400</v>
      </c>
    </row>
    <row r="183" spans="1:26" s="45" customFormat="1" x14ac:dyDescent="0.3">
      <c r="A183" s="38" t="s">
        <v>727</v>
      </c>
      <c r="B183" s="39">
        <v>2022</v>
      </c>
      <c r="C183" s="40">
        <v>3998628848</v>
      </c>
      <c r="D183" s="46">
        <v>4731</v>
      </c>
      <c r="E183" s="46">
        <v>2081</v>
      </c>
      <c r="F183" s="46">
        <v>104389</v>
      </c>
      <c r="G183" s="46">
        <v>11041</v>
      </c>
      <c r="H183" s="46">
        <v>1758</v>
      </c>
      <c r="I183" s="40">
        <v>81502</v>
      </c>
      <c r="J183" s="40">
        <v>67403</v>
      </c>
      <c r="K183" s="40">
        <v>90249</v>
      </c>
      <c r="L183" s="40">
        <v>13991</v>
      </c>
      <c r="M183" s="40">
        <v>16084</v>
      </c>
      <c r="N183" s="40">
        <v>57111</v>
      </c>
      <c r="O183" s="40">
        <v>62518</v>
      </c>
      <c r="P183" s="40">
        <v>8228</v>
      </c>
      <c r="Q183" s="40">
        <v>6572</v>
      </c>
      <c r="R183" s="40">
        <v>22971</v>
      </c>
      <c r="S183" s="40">
        <v>8737</v>
      </c>
      <c r="T183" s="40">
        <v>9654</v>
      </c>
      <c r="U183" s="40">
        <v>13059</v>
      </c>
      <c r="V183" s="40">
        <v>-17933</v>
      </c>
      <c r="W183" s="45">
        <v>1283933</v>
      </c>
      <c r="Y183" s="44">
        <v>219.9</v>
      </c>
      <c r="Z183" s="47">
        <v>564147</v>
      </c>
    </row>
    <row r="184" spans="1:26" s="45" customFormat="1" ht="14.5" x14ac:dyDescent="0.35">
      <c r="A184" s="38" t="s">
        <v>727</v>
      </c>
      <c r="B184" s="39">
        <v>2023</v>
      </c>
      <c r="C184" s="40">
        <v>4388585585</v>
      </c>
      <c r="D184" s="45">
        <v>4777</v>
      </c>
      <c r="E184" s="45">
        <v>1802</v>
      </c>
      <c r="F184" s="45">
        <v>119767</v>
      </c>
      <c r="G184" s="45">
        <v>15576</v>
      </c>
      <c r="H184" s="45">
        <v>1557</v>
      </c>
      <c r="I184" s="45">
        <v>85764</v>
      </c>
      <c r="J184" s="45">
        <v>73146</v>
      </c>
      <c r="K184" s="45">
        <v>143983</v>
      </c>
      <c r="L184" s="45">
        <v>18117</v>
      </c>
      <c r="M184" s="45">
        <v>16998</v>
      </c>
      <c r="N184" s="50">
        <v>66738</v>
      </c>
      <c r="O184" s="50">
        <v>68716</v>
      </c>
      <c r="P184" s="50">
        <v>9020</v>
      </c>
      <c r="Q184" s="50">
        <v>7787</v>
      </c>
      <c r="R184" s="50">
        <v>20798</v>
      </c>
      <c r="S184" s="50">
        <v>9284</v>
      </c>
      <c r="T184" s="50">
        <v>10381</v>
      </c>
      <c r="U184" s="50">
        <v>14143</v>
      </c>
      <c r="V184" s="50">
        <v>-22799</v>
      </c>
      <c r="W184" s="45">
        <v>1311860</v>
      </c>
      <c r="X184" s="45">
        <v>515639</v>
      </c>
      <c r="Y184" s="44">
        <v>219.9</v>
      </c>
      <c r="Z184" s="47"/>
    </row>
    <row r="185" spans="1:26" s="45" customFormat="1" ht="14.5" x14ac:dyDescent="0.35">
      <c r="A185" s="38" t="s">
        <v>728</v>
      </c>
      <c r="B185" s="39">
        <v>2017</v>
      </c>
      <c r="C185" s="40">
        <v>453706818</v>
      </c>
      <c r="D185" s="41">
        <v>76558.777268070218</v>
      </c>
      <c r="E185" s="41">
        <v>2479.7743303095781</v>
      </c>
      <c r="F185" s="41">
        <v>7398.2878328844054</v>
      </c>
      <c r="G185" s="41">
        <v>1750.7382042833387</v>
      </c>
      <c r="H185" s="41">
        <v>1152.4754525217663</v>
      </c>
      <c r="I185" s="41">
        <v>7657.9984950006328</v>
      </c>
      <c r="J185" s="41">
        <v>4834.2448508203124</v>
      </c>
      <c r="K185" s="41">
        <v>9623.3300426706883</v>
      </c>
      <c r="L185" s="41">
        <v>1783.4564098169526</v>
      </c>
      <c r="M185" s="41">
        <v>2767.7471207948088</v>
      </c>
      <c r="N185" s="41">
        <v>2400.6870301661465</v>
      </c>
      <c r="O185" s="41">
        <v>8933.738580408628</v>
      </c>
      <c r="P185" s="41">
        <v>3802.1561856032713</v>
      </c>
      <c r="Q185" s="41">
        <v>1706.4732515583264</v>
      </c>
      <c r="R185" s="41">
        <v>8167.9988436931699</v>
      </c>
      <c r="S185" s="41">
        <v>8366.9485026173097</v>
      </c>
      <c r="T185" s="41">
        <v>3038.5945129249758</v>
      </c>
      <c r="U185" s="41">
        <v>3915.4894895048537</v>
      </c>
      <c r="V185" s="42">
        <v>-1167.040877282416</v>
      </c>
      <c r="W185" s="43"/>
      <c r="X185" s="44"/>
      <c r="Y185" s="44">
        <v>2524.1999999999998</v>
      </c>
      <c r="Z185" s="44">
        <v>155171.87552636696</v>
      </c>
    </row>
    <row r="186" spans="1:26" s="45" customFormat="1" ht="14.5" x14ac:dyDescent="0.35">
      <c r="A186" s="38" t="s">
        <v>728</v>
      </c>
      <c r="B186" s="39">
        <v>2018</v>
      </c>
      <c r="C186" s="40">
        <v>704030420</v>
      </c>
      <c r="D186" s="41">
        <v>77670.856350232585</v>
      </c>
      <c r="E186" s="41">
        <v>2323.3694736384177</v>
      </c>
      <c r="F186" s="41">
        <v>8648.4741241393422</v>
      </c>
      <c r="G186" s="41">
        <v>1980.4277323518977</v>
      </c>
      <c r="H186" s="41">
        <v>1155.5172264234247</v>
      </c>
      <c r="I186" s="41">
        <v>9153.7039731924979</v>
      </c>
      <c r="J186" s="41">
        <v>5065.9771483664535</v>
      </c>
      <c r="K186" s="41">
        <v>12247.368155106089</v>
      </c>
      <c r="L186" s="41">
        <v>2092.3756785957421</v>
      </c>
      <c r="M186" s="41">
        <v>2946.1895872367159</v>
      </c>
      <c r="N186" s="41">
        <v>2548.138357445875</v>
      </c>
      <c r="O186" s="41">
        <v>9925.8017806921362</v>
      </c>
      <c r="P186" s="41">
        <v>4039.638920183671</v>
      </c>
      <c r="Q186" s="41">
        <v>1994.321928500287</v>
      </c>
      <c r="R186" s="41">
        <v>8541.2895448357613</v>
      </c>
      <c r="S186" s="41">
        <v>9161.2293280646409</v>
      </c>
      <c r="T186" s="41">
        <v>3933.1217322781085</v>
      </c>
      <c r="U186" s="41">
        <v>4323.2133141655722</v>
      </c>
      <c r="V186" s="42">
        <v>-1071.6663223583478</v>
      </c>
      <c r="W186" s="43"/>
      <c r="X186" s="44"/>
      <c r="Y186" s="44">
        <v>2524.1999999999998</v>
      </c>
      <c r="Z186" s="44">
        <v>166679.34803309088</v>
      </c>
    </row>
    <row r="187" spans="1:26" s="45" customFormat="1" x14ac:dyDescent="0.3">
      <c r="A187" s="38" t="s">
        <v>728</v>
      </c>
      <c r="B187" s="39">
        <v>2019</v>
      </c>
      <c r="C187" s="40">
        <v>551677483</v>
      </c>
      <c r="D187" s="46"/>
      <c r="E187" s="46"/>
      <c r="F187" s="46"/>
      <c r="G187" s="46"/>
      <c r="H187" s="46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5">
        <v>1056640</v>
      </c>
      <c r="X187" s="44"/>
      <c r="Y187" s="44">
        <v>2524.1999999999998</v>
      </c>
      <c r="Z187" s="47">
        <v>180485</v>
      </c>
    </row>
    <row r="188" spans="1:26" s="45" customFormat="1" x14ac:dyDescent="0.3">
      <c r="A188" s="38" t="s">
        <v>728</v>
      </c>
      <c r="B188" s="39">
        <v>2020</v>
      </c>
      <c r="C188" s="40">
        <v>620011720</v>
      </c>
      <c r="D188" s="46">
        <v>102085</v>
      </c>
      <c r="E188" s="46">
        <v>2589</v>
      </c>
      <c r="F188" s="46">
        <v>8823</v>
      </c>
      <c r="G188" s="46">
        <v>2184</v>
      </c>
      <c r="H188" s="46">
        <v>1130</v>
      </c>
      <c r="I188" s="40">
        <v>12589</v>
      </c>
      <c r="J188" s="40">
        <v>5504</v>
      </c>
      <c r="K188" s="40">
        <v>14292</v>
      </c>
      <c r="L188" s="40">
        <v>1628</v>
      </c>
      <c r="M188" s="40">
        <v>3457</v>
      </c>
      <c r="N188" s="40">
        <v>2495</v>
      </c>
      <c r="O188" s="40">
        <v>11200</v>
      </c>
      <c r="P188" s="40">
        <v>3930</v>
      </c>
      <c r="Q188" s="40">
        <v>1897</v>
      </c>
      <c r="R188" s="40">
        <v>10882</v>
      </c>
      <c r="S188" s="40">
        <v>9097</v>
      </c>
      <c r="T188" s="40">
        <v>3576</v>
      </c>
      <c r="U188" s="40">
        <v>4130</v>
      </c>
      <c r="V188" s="40">
        <v>-950</v>
      </c>
      <c r="W188" s="45">
        <v>200539</v>
      </c>
      <c r="X188" s="44"/>
      <c r="Y188" s="44">
        <v>2524.1999999999998</v>
      </c>
      <c r="Z188" s="47">
        <v>200539</v>
      </c>
    </row>
    <row r="189" spans="1:26" s="45" customFormat="1" x14ac:dyDescent="0.3">
      <c r="A189" s="38" t="s">
        <v>728</v>
      </c>
      <c r="B189" s="39">
        <v>2021</v>
      </c>
      <c r="C189" s="40">
        <v>487012308</v>
      </c>
      <c r="D189" s="46">
        <v>109649</v>
      </c>
      <c r="E189" s="46">
        <v>3093</v>
      </c>
      <c r="F189" s="46">
        <v>9327</v>
      </c>
      <c r="G189" s="46">
        <v>2285</v>
      </c>
      <c r="H189" s="46">
        <v>1224</v>
      </c>
      <c r="I189" s="40">
        <v>14281</v>
      </c>
      <c r="J189" s="40">
        <v>6031</v>
      </c>
      <c r="K189" s="40">
        <v>18839</v>
      </c>
      <c r="L189" s="40">
        <v>2797</v>
      </c>
      <c r="M189" s="40">
        <v>3611</v>
      </c>
      <c r="N189" s="40">
        <v>2964</v>
      </c>
      <c r="O189" s="40">
        <v>11983</v>
      </c>
      <c r="P189" s="40">
        <v>4417</v>
      </c>
      <c r="Q189" s="40">
        <v>2161</v>
      </c>
      <c r="R189" s="40">
        <v>14035</v>
      </c>
      <c r="S189" s="40">
        <v>11622</v>
      </c>
      <c r="T189" s="40">
        <v>4824</v>
      </c>
      <c r="U189" s="40">
        <v>4635</v>
      </c>
      <c r="V189" s="40">
        <v>-1250</v>
      </c>
      <c r="W189" s="45">
        <v>1088456</v>
      </c>
      <c r="X189" s="44"/>
      <c r="Y189" s="44">
        <v>2524.1999999999998</v>
      </c>
      <c r="Z189" s="47">
        <v>226526</v>
      </c>
    </row>
    <row r="190" spans="1:26" s="45" customFormat="1" x14ac:dyDescent="0.3">
      <c r="A190" s="38" t="s">
        <v>728</v>
      </c>
      <c r="B190" s="39">
        <v>2022</v>
      </c>
      <c r="C190" s="40">
        <v>705972425</v>
      </c>
      <c r="D190" s="46">
        <v>115793</v>
      </c>
      <c r="E190" s="46">
        <v>4009</v>
      </c>
      <c r="F190" s="46">
        <v>10975</v>
      </c>
      <c r="G190" s="46">
        <v>2094</v>
      </c>
      <c r="H190" s="46">
        <v>1228</v>
      </c>
      <c r="I190" s="40">
        <v>16011</v>
      </c>
      <c r="J190" s="40">
        <v>6722</v>
      </c>
      <c r="K190" s="40">
        <v>23991</v>
      </c>
      <c r="L190" s="40">
        <v>3082</v>
      </c>
      <c r="M190" s="40">
        <v>3988</v>
      </c>
      <c r="N190" s="40">
        <v>3531</v>
      </c>
      <c r="O190" s="40">
        <v>12897</v>
      </c>
      <c r="P190" s="40">
        <v>4632</v>
      </c>
      <c r="Q190" s="40">
        <v>2670</v>
      </c>
      <c r="R190" s="40">
        <v>14755</v>
      </c>
      <c r="S190" s="40">
        <v>12056</v>
      </c>
      <c r="T190" s="40">
        <v>5483</v>
      </c>
      <c r="U190" s="40">
        <v>5036</v>
      </c>
      <c r="V190" s="40">
        <v>-1361</v>
      </c>
      <c r="W190" s="45">
        <v>1100372</v>
      </c>
      <c r="X190" s="45">
        <v>620340</v>
      </c>
      <c r="Y190" s="44">
        <v>2524.1999999999998</v>
      </c>
      <c r="Z190" s="47">
        <v>247592</v>
      </c>
    </row>
    <row r="191" spans="1:26" s="45" customFormat="1" ht="14.5" x14ac:dyDescent="0.35">
      <c r="A191" s="38" t="s">
        <v>728</v>
      </c>
      <c r="B191" s="39">
        <v>2023</v>
      </c>
      <c r="C191" s="40">
        <v>924932542</v>
      </c>
      <c r="D191" s="50">
        <v>124478</v>
      </c>
      <c r="E191" s="50">
        <v>3472</v>
      </c>
      <c r="F191" s="50">
        <v>11721</v>
      </c>
      <c r="G191" s="50">
        <v>2872</v>
      </c>
      <c r="H191" s="50">
        <v>1186</v>
      </c>
      <c r="I191" s="50">
        <v>16862</v>
      </c>
      <c r="J191" s="50">
        <v>7411</v>
      </c>
      <c r="K191" s="50">
        <v>28289</v>
      </c>
      <c r="L191" s="50">
        <v>3991</v>
      </c>
      <c r="M191" s="50">
        <v>4218</v>
      </c>
      <c r="N191" s="50">
        <v>4195</v>
      </c>
      <c r="O191" s="50">
        <v>14000</v>
      </c>
      <c r="P191" s="50">
        <v>5078</v>
      </c>
      <c r="Q191" s="50">
        <v>3163</v>
      </c>
      <c r="R191" s="50">
        <v>14420</v>
      </c>
      <c r="S191" s="50">
        <v>11824</v>
      </c>
      <c r="T191" s="50">
        <v>5818</v>
      </c>
      <c r="U191" s="50">
        <v>5478</v>
      </c>
      <c r="V191" s="50">
        <v>-1414</v>
      </c>
      <c r="W191" s="45">
        <v>1112288</v>
      </c>
      <c r="X191" s="44"/>
      <c r="Y191" s="44">
        <v>2524.1999999999998</v>
      </c>
      <c r="Z191" s="47"/>
    </row>
    <row r="192" spans="1:26" s="45" customFormat="1" ht="14.5" x14ac:dyDescent="0.35">
      <c r="A192" s="38" t="s">
        <v>729</v>
      </c>
      <c r="B192" s="39">
        <v>2017</v>
      </c>
      <c r="C192" s="40">
        <v>10109419494</v>
      </c>
      <c r="D192" s="41">
        <v>4431.3021376778661</v>
      </c>
      <c r="E192" s="41">
        <v>840.28716676619297</v>
      </c>
      <c r="F192" s="41">
        <v>267652.73716987256</v>
      </c>
      <c r="G192" s="41">
        <v>26039.761529330182</v>
      </c>
      <c r="H192" s="41">
        <v>19172.561141493985</v>
      </c>
      <c r="I192" s="41">
        <v>185208.26530155336</v>
      </c>
      <c r="J192" s="41">
        <v>331757.44048660813</v>
      </c>
      <c r="K192" s="41">
        <v>282468.23715798237</v>
      </c>
      <c r="L192" s="41">
        <v>18528.853698098261</v>
      </c>
      <c r="M192" s="41">
        <v>106965.34363363424</v>
      </c>
      <c r="N192" s="41">
        <v>466534.15689242911</v>
      </c>
      <c r="O192" s="41">
        <v>389662.52106012474</v>
      </c>
      <c r="P192" s="41">
        <v>35744.795557577818</v>
      </c>
      <c r="Q192" s="41">
        <v>22024.071096985896</v>
      </c>
      <c r="R192" s="41">
        <v>41805.711229103341</v>
      </c>
      <c r="S192" s="41">
        <v>32678.799985551072</v>
      </c>
      <c r="T192" s="41">
        <v>30342.325156072227</v>
      </c>
      <c r="U192" s="41">
        <v>47387.06010505672</v>
      </c>
      <c r="V192" s="42">
        <v>-173147.18917592877</v>
      </c>
      <c r="W192" s="43"/>
      <c r="X192" s="44"/>
      <c r="Y192" s="44">
        <v>703.9</v>
      </c>
      <c r="Z192" s="44">
        <v>2136097.0413299887</v>
      </c>
    </row>
    <row r="193" spans="1:26" s="45" customFormat="1" ht="14.5" x14ac:dyDescent="0.35">
      <c r="A193" s="38" t="s">
        <v>729</v>
      </c>
      <c r="B193" s="39">
        <v>2018</v>
      </c>
      <c r="C193" s="40">
        <v>10248425385</v>
      </c>
      <c r="D193" s="41">
        <v>4383.8093984079233</v>
      </c>
      <c r="E193" s="41">
        <v>787.2883949528424</v>
      </c>
      <c r="F193" s="41">
        <v>284532.72961748624</v>
      </c>
      <c r="G193" s="41">
        <v>25252.433061472217</v>
      </c>
      <c r="H193" s="41">
        <v>17580.882314942748</v>
      </c>
      <c r="I193" s="41">
        <v>221930.38334469334</v>
      </c>
      <c r="J193" s="41">
        <v>358902.35821576725</v>
      </c>
      <c r="K193" s="41">
        <v>331518.4997351573</v>
      </c>
      <c r="L193" s="41">
        <v>21738.30692847645</v>
      </c>
      <c r="M193" s="41">
        <v>116036.57625369584</v>
      </c>
      <c r="N193" s="41">
        <v>467771.51551203907</v>
      </c>
      <c r="O193" s="41">
        <v>433767.92564542836</v>
      </c>
      <c r="P193" s="41">
        <v>37977.416044914273</v>
      </c>
      <c r="Q193" s="41">
        <v>25739.101332797582</v>
      </c>
      <c r="R193" s="41">
        <v>43080.514382939087</v>
      </c>
      <c r="S193" s="41">
        <v>35967.5336180628</v>
      </c>
      <c r="T193" s="41">
        <v>32095.703847613204</v>
      </c>
      <c r="U193" s="41">
        <v>52369.679191265517</v>
      </c>
      <c r="V193" s="42">
        <v>-148927.25882112159</v>
      </c>
      <c r="W193" s="43"/>
      <c r="X193" s="44"/>
      <c r="Y193" s="44">
        <v>703.9</v>
      </c>
      <c r="Z193" s="44">
        <v>2362505.3980189911</v>
      </c>
    </row>
    <row r="194" spans="1:26" s="45" customFormat="1" x14ac:dyDescent="0.3">
      <c r="A194" s="38" t="s">
        <v>729</v>
      </c>
      <c r="B194" s="39">
        <v>2019</v>
      </c>
      <c r="C194" s="40">
        <v>8819040246</v>
      </c>
      <c r="D194" s="46"/>
      <c r="E194" s="46"/>
      <c r="F194" s="46"/>
      <c r="G194" s="46"/>
      <c r="H194" s="46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5">
        <v>4397073</v>
      </c>
      <c r="X194" s="44"/>
      <c r="Y194" s="44">
        <v>703.9</v>
      </c>
      <c r="Z194" s="47">
        <v>2600760</v>
      </c>
    </row>
    <row r="195" spans="1:26" s="45" customFormat="1" x14ac:dyDescent="0.3">
      <c r="A195" s="38" t="s">
        <v>729</v>
      </c>
      <c r="B195" s="39">
        <v>2020</v>
      </c>
      <c r="C195" s="40">
        <v>9711076181</v>
      </c>
      <c r="D195" s="46">
        <v>4312</v>
      </c>
      <c r="E195" s="46">
        <v>877</v>
      </c>
      <c r="F195" s="46">
        <v>298415</v>
      </c>
      <c r="G195" s="46">
        <v>28256</v>
      </c>
      <c r="H195" s="46">
        <v>17200</v>
      </c>
      <c r="I195" s="40">
        <v>305018</v>
      </c>
      <c r="J195" s="40">
        <v>418487</v>
      </c>
      <c r="K195" s="40">
        <v>336217</v>
      </c>
      <c r="L195" s="40">
        <v>16919</v>
      </c>
      <c r="M195" s="40">
        <v>129354</v>
      </c>
      <c r="N195" s="40">
        <v>553302</v>
      </c>
      <c r="O195" s="40">
        <v>490511</v>
      </c>
      <c r="P195" s="40">
        <v>36946</v>
      </c>
      <c r="Q195" s="40">
        <v>24480</v>
      </c>
      <c r="R195" s="40">
        <v>51510</v>
      </c>
      <c r="S195" s="40">
        <v>38789</v>
      </c>
      <c r="T195" s="40">
        <v>32354</v>
      </c>
      <c r="U195" s="40">
        <v>50750</v>
      </c>
      <c r="V195" s="40">
        <v>-150996</v>
      </c>
      <c r="W195" s="45">
        <v>4515607</v>
      </c>
      <c r="X195" s="44"/>
      <c r="Y195" s="44">
        <v>703.9</v>
      </c>
      <c r="Z195" s="47">
        <v>2682701</v>
      </c>
    </row>
    <row r="196" spans="1:26" s="45" customFormat="1" x14ac:dyDescent="0.3">
      <c r="A196" s="38" t="s">
        <v>729</v>
      </c>
      <c r="B196" s="39">
        <v>2021</v>
      </c>
      <c r="C196" s="40">
        <v>8958551072</v>
      </c>
      <c r="D196" s="46">
        <v>5209</v>
      </c>
      <c r="E196" s="46">
        <v>1048</v>
      </c>
      <c r="F196" s="46">
        <v>320721</v>
      </c>
      <c r="G196" s="46">
        <v>27517</v>
      </c>
      <c r="H196" s="46">
        <v>18629</v>
      </c>
      <c r="I196" s="40">
        <v>344919</v>
      </c>
      <c r="J196" s="40">
        <v>460248</v>
      </c>
      <c r="K196" s="40">
        <v>379207</v>
      </c>
      <c r="L196" s="40">
        <v>29054</v>
      </c>
      <c r="M196" s="40">
        <v>139410</v>
      </c>
      <c r="N196" s="40">
        <v>645464</v>
      </c>
      <c r="O196" s="40">
        <v>532969</v>
      </c>
      <c r="P196" s="40">
        <v>41521</v>
      </c>
      <c r="Q196" s="40">
        <v>27892</v>
      </c>
      <c r="R196" s="40">
        <v>53129</v>
      </c>
      <c r="S196" s="40">
        <v>48966</v>
      </c>
      <c r="T196" s="40">
        <v>38947</v>
      </c>
      <c r="U196" s="40">
        <v>56712</v>
      </c>
      <c r="V196" s="40">
        <v>-175068</v>
      </c>
      <c r="W196" s="45">
        <v>4593757</v>
      </c>
      <c r="X196" s="44"/>
      <c r="Y196" s="44">
        <v>703.9</v>
      </c>
      <c r="Z196" s="47">
        <v>2996494</v>
      </c>
    </row>
    <row r="197" spans="1:26" s="45" customFormat="1" x14ac:dyDescent="0.3">
      <c r="A197" s="38" t="s">
        <v>729</v>
      </c>
      <c r="B197" s="39">
        <v>2022</v>
      </c>
      <c r="C197" s="40">
        <v>10561592492</v>
      </c>
      <c r="D197" s="46">
        <v>7092</v>
      </c>
      <c r="E197" s="46">
        <v>1358</v>
      </c>
      <c r="F197" s="46">
        <v>390607</v>
      </c>
      <c r="G197" s="46">
        <v>25966</v>
      </c>
      <c r="H197" s="46">
        <v>18697</v>
      </c>
      <c r="I197" s="40">
        <v>387745</v>
      </c>
      <c r="J197" s="40">
        <v>498203</v>
      </c>
      <c r="K197" s="40">
        <v>454351</v>
      </c>
      <c r="L197" s="40">
        <v>32024</v>
      </c>
      <c r="M197" s="40">
        <v>150453</v>
      </c>
      <c r="N197" s="40">
        <v>756629</v>
      </c>
      <c r="O197" s="40">
        <v>566286</v>
      </c>
      <c r="P197" s="40">
        <v>43548</v>
      </c>
      <c r="Q197" s="40">
        <v>34456</v>
      </c>
      <c r="R197" s="40">
        <v>48265</v>
      </c>
      <c r="S197" s="40">
        <v>50274</v>
      </c>
      <c r="T197" s="40">
        <v>42123</v>
      </c>
      <c r="U197" s="40">
        <v>61110</v>
      </c>
      <c r="V197" s="40">
        <v>-189833</v>
      </c>
      <c r="W197" s="45">
        <v>4671906</v>
      </c>
      <c r="X197" s="45">
        <v>2191913</v>
      </c>
      <c r="Y197" s="44">
        <v>703.9</v>
      </c>
      <c r="Z197" s="47">
        <v>3379354</v>
      </c>
    </row>
    <row r="198" spans="1:26" s="45" customFormat="1" ht="14.5" x14ac:dyDescent="0.35">
      <c r="A198" s="38" t="s">
        <v>729</v>
      </c>
      <c r="B198" s="39">
        <v>2023</v>
      </c>
      <c r="C198" s="40">
        <v>12164633912</v>
      </c>
      <c r="D198" s="50">
        <v>6762</v>
      </c>
      <c r="E198" s="50">
        <v>1176</v>
      </c>
      <c r="F198" s="50">
        <v>420743</v>
      </c>
      <c r="G198" s="50">
        <v>30403</v>
      </c>
      <c r="H198" s="50">
        <v>20004</v>
      </c>
      <c r="I198" s="50">
        <v>407993</v>
      </c>
      <c r="J198" s="50">
        <v>538417</v>
      </c>
      <c r="K198" s="50">
        <v>581232</v>
      </c>
      <c r="L198" s="50">
        <v>41469</v>
      </c>
      <c r="M198" s="50">
        <v>156632</v>
      </c>
      <c r="N198" s="50">
        <v>885607</v>
      </c>
      <c r="O198" s="50">
        <v>628404</v>
      </c>
      <c r="P198" s="50">
        <v>47738</v>
      </c>
      <c r="Q198" s="50">
        <v>40821</v>
      </c>
      <c r="R198" s="50">
        <v>60333</v>
      </c>
      <c r="S198" s="50">
        <v>55684</v>
      </c>
      <c r="T198" s="50">
        <v>44940</v>
      </c>
      <c r="U198" s="50">
        <v>66134</v>
      </c>
      <c r="V198" s="50">
        <v>-223312</v>
      </c>
      <c r="W198" s="45">
        <v>4750056</v>
      </c>
      <c r="X198" s="44"/>
      <c r="Y198" s="44">
        <v>703.9</v>
      </c>
      <c r="Z198" s="47"/>
    </row>
    <row r="199" spans="1:26" s="45" customFormat="1" ht="14.5" x14ac:dyDescent="0.35">
      <c r="A199" s="38" t="s">
        <v>730</v>
      </c>
      <c r="B199" s="39">
        <v>2017</v>
      </c>
      <c r="C199" s="40">
        <v>2278646064</v>
      </c>
      <c r="D199" s="41">
        <v>79941.813529127685</v>
      </c>
      <c r="E199" s="41">
        <v>661.75795911487296</v>
      </c>
      <c r="F199" s="41">
        <v>28919.652153692776</v>
      </c>
      <c r="G199" s="41">
        <v>52993.023189718922</v>
      </c>
      <c r="H199" s="41">
        <v>2899.5614705014805</v>
      </c>
      <c r="I199" s="41">
        <v>17050.189210566135</v>
      </c>
      <c r="J199" s="41">
        <v>42611.57768581104</v>
      </c>
      <c r="K199" s="41">
        <v>49542.62317871047</v>
      </c>
      <c r="L199" s="41">
        <v>6246.4367443588872</v>
      </c>
      <c r="M199" s="41">
        <v>7212.1732031908032</v>
      </c>
      <c r="N199" s="41">
        <v>13599.977453309355</v>
      </c>
      <c r="O199" s="41">
        <v>22372.513105558115</v>
      </c>
      <c r="P199" s="41">
        <v>7833.2949855444549</v>
      </c>
      <c r="Q199" s="41">
        <v>4327.355587168624</v>
      </c>
      <c r="R199" s="41">
        <v>14913.043387588197</v>
      </c>
      <c r="S199" s="41">
        <v>18103.392876358004</v>
      </c>
      <c r="T199" s="41">
        <v>7491.6100721818566</v>
      </c>
      <c r="U199" s="41">
        <v>10149.213587280208</v>
      </c>
      <c r="V199" s="42">
        <v>-5600.6142480927547</v>
      </c>
      <c r="W199" s="43"/>
      <c r="X199" s="44"/>
      <c r="Y199" s="44">
        <v>7462.4</v>
      </c>
      <c r="Z199" s="44">
        <v>381268.59513168904</v>
      </c>
    </row>
    <row r="200" spans="1:26" s="45" customFormat="1" ht="14.5" x14ac:dyDescent="0.35">
      <c r="A200" s="38" t="s">
        <v>730</v>
      </c>
      <c r="B200" s="39">
        <v>2018</v>
      </c>
      <c r="C200" s="40">
        <v>2814628525</v>
      </c>
      <c r="D200" s="41">
        <v>90667.970877868647</v>
      </c>
      <c r="E200" s="41">
        <v>620.01941965130811</v>
      </c>
      <c r="F200" s="41">
        <v>29839.347323073453</v>
      </c>
      <c r="G200" s="41">
        <v>51385.818359444202</v>
      </c>
      <c r="H200" s="41">
        <v>3144.1257186670546</v>
      </c>
      <c r="I200" s="41">
        <v>20416.774217050777</v>
      </c>
      <c r="J200" s="41">
        <v>46131.701219403381</v>
      </c>
      <c r="K200" s="41">
        <v>54880.499559339005</v>
      </c>
      <c r="L200" s="41">
        <v>7328.4058134758416</v>
      </c>
      <c r="M200" s="41">
        <v>7677.9064800625029</v>
      </c>
      <c r="N200" s="41">
        <v>13311.230412861991</v>
      </c>
      <c r="O200" s="41">
        <v>24874.233361028037</v>
      </c>
      <c r="P200" s="41">
        <v>8322.5627123637496</v>
      </c>
      <c r="Q200" s="41">
        <v>5057.2958773468636</v>
      </c>
      <c r="R200" s="41">
        <v>15875.731475126906</v>
      </c>
      <c r="S200" s="41">
        <v>18856.792745282401</v>
      </c>
      <c r="T200" s="41">
        <v>7438.0702991466887</v>
      </c>
      <c r="U200" s="41">
        <v>11209.423198372517</v>
      </c>
      <c r="V200" s="42">
        <v>-5430.1417844873931</v>
      </c>
      <c r="W200" s="43"/>
      <c r="X200" s="44"/>
      <c r="Y200" s="44">
        <v>7462.4</v>
      </c>
      <c r="Z200" s="44">
        <v>411607.76728507795</v>
      </c>
    </row>
    <row r="201" spans="1:26" s="45" customFormat="1" x14ac:dyDescent="0.3">
      <c r="A201" s="38" t="s">
        <v>730</v>
      </c>
      <c r="B201" s="39">
        <v>2019</v>
      </c>
      <c r="C201" s="40">
        <v>2440666697</v>
      </c>
      <c r="D201" s="46"/>
      <c r="E201" s="46"/>
      <c r="F201" s="46"/>
      <c r="G201" s="46"/>
      <c r="H201" s="46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5">
        <v>2162202</v>
      </c>
      <c r="X201" s="44"/>
      <c r="Y201" s="44">
        <v>7462.4</v>
      </c>
      <c r="Z201" s="47">
        <v>461937</v>
      </c>
    </row>
    <row r="202" spans="1:26" s="45" customFormat="1" x14ac:dyDescent="0.3">
      <c r="A202" s="38" t="s">
        <v>730</v>
      </c>
      <c r="B202" s="39">
        <v>2020</v>
      </c>
      <c r="C202" s="40">
        <v>2822949912</v>
      </c>
      <c r="D202" s="46">
        <v>126070</v>
      </c>
      <c r="E202" s="46">
        <v>691</v>
      </c>
      <c r="F202" s="46">
        <v>34272</v>
      </c>
      <c r="G202" s="46">
        <v>51180</v>
      </c>
      <c r="H202" s="46">
        <v>3246</v>
      </c>
      <c r="I202" s="40">
        <v>28066</v>
      </c>
      <c r="J202" s="40">
        <v>53873</v>
      </c>
      <c r="K202" s="40">
        <v>62615</v>
      </c>
      <c r="L202" s="40">
        <v>5704</v>
      </c>
      <c r="M202" s="40">
        <v>9006</v>
      </c>
      <c r="N202" s="40">
        <v>15208</v>
      </c>
      <c r="O202" s="40">
        <v>28090</v>
      </c>
      <c r="P202" s="40">
        <v>8096</v>
      </c>
      <c r="Q202" s="40">
        <v>4810</v>
      </c>
      <c r="R202" s="40">
        <v>18910</v>
      </c>
      <c r="S202" s="40">
        <v>19626</v>
      </c>
      <c r="T202" s="40">
        <v>9126</v>
      </c>
      <c r="U202" s="40">
        <v>10760</v>
      </c>
      <c r="V202" s="40">
        <v>-5411</v>
      </c>
      <c r="W202" s="45">
        <v>2201828</v>
      </c>
      <c r="X202" s="44"/>
      <c r="Y202" s="44">
        <v>7462.4</v>
      </c>
      <c r="Z202" s="47">
        <v>483938</v>
      </c>
    </row>
    <row r="203" spans="1:26" s="45" customFormat="1" x14ac:dyDescent="0.3">
      <c r="A203" s="38" t="s">
        <v>730</v>
      </c>
      <c r="B203" s="39">
        <v>2021</v>
      </c>
      <c r="C203" s="40">
        <v>3259072974</v>
      </c>
      <c r="D203" s="46">
        <v>160792</v>
      </c>
      <c r="E203" s="46">
        <v>825</v>
      </c>
      <c r="F203" s="46">
        <v>32116</v>
      </c>
      <c r="G203" s="46">
        <v>50067</v>
      </c>
      <c r="H203" s="46">
        <v>3452</v>
      </c>
      <c r="I203" s="40">
        <v>31765</v>
      </c>
      <c r="J203" s="40">
        <v>59254</v>
      </c>
      <c r="K203" s="40">
        <v>73720</v>
      </c>
      <c r="L203" s="40">
        <v>9795</v>
      </c>
      <c r="M203" s="40">
        <v>9409</v>
      </c>
      <c r="N203" s="40">
        <v>31791</v>
      </c>
      <c r="O203" s="40">
        <v>30222</v>
      </c>
      <c r="P203" s="40">
        <v>9099</v>
      </c>
      <c r="Q203" s="40">
        <v>5480</v>
      </c>
      <c r="R203" s="40">
        <v>21123</v>
      </c>
      <c r="S203" s="40">
        <v>24837</v>
      </c>
      <c r="T203" s="40">
        <v>9459</v>
      </c>
      <c r="U203" s="40">
        <v>12056</v>
      </c>
      <c r="V203" s="40">
        <v>-5811</v>
      </c>
      <c r="W203" s="45">
        <v>2250502</v>
      </c>
      <c r="X203" s="44"/>
      <c r="Y203" s="44">
        <v>7462.4</v>
      </c>
      <c r="Z203" s="47">
        <v>569453</v>
      </c>
    </row>
    <row r="204" spans="1:26" s="45" customFormat="1" x14ac:dyDescent="0.3">
      <c r="A204" s="38" t="s">
        <v>730</v>
      </c>
      <c r="B204" s="39">
        <v>2022</v>
      </c>
      <c r="C204" s="40">
        <v>3290572261</v>
      </c>
      <c r="D204" s="46">
        <v>130767</v>
      </c>
      <c r="E204" s="46">
        <v>1070</v>
      </c>
      <c r="F204" s="46">
        <v>42083</v>
      </c>
      <c r="G204" s="46">
        <v>52372</v>
      </c>
      <c r="H204" s="46">
        <v>3517</v>
      </c>
      <c r="I204" s="40">
        <v>35682</v>
      </c>
      <c r="J204" s="40">
        <v>64100</v>
      </c>
      <c r="K204" s="40">
        <v>96049</v>
      </c>
      <c r="L204" s="40">
        <v>10796</v>
      </c>
      <c r="M204" s="40">
        <v>10391</v>
      </c>
      <c r="N204" s="40">
        <v>37537</v>
      </c>
      <c r="O204" s="40">
        <v>32376</v>
      </c>
      <c r="P204" s="40">
        <v>9543</v>
      </c>
      <c r="Q204" s="40">
        <v>6770</v>
      </c>
      <c r="R204" s="40">
        <v>24184</v>
      </c>
      <c r="S204" s="40">
        <v>25949</v>
      </c>
      <c r="T204" s="40">
        <v>10541</v>
      </c>
      <c r="U204" s="40">
        <v>13065</v>
      </c>
      <c r="V204" s="40">
        <v>-6276</v>
      </c>
      <c r="W204" s="45">
        <v>2299175</v>
      </c>
      <c r="X204" s="45">
        <v>947626</v>
      </c>
      <c r="Y204" s="44">
        <v>7462.4</v>
      </c>
      <c r="Z204" s="47">
        <v>600518</v>
      </c>
    </row>
    <row r="205" spans="1:26" s="45" customFormat="1" ht="14.5" x14ac:dyDescent="0.35">
      <c r="A205" s="38" t="s">
        <v>730</v>
      </c>
      <c r="B205" s="39">
        <v>2023</v>
      </c>
      <c r="C205" s="40">
        <v>3322071548</v>
      </c>
      <c r="D205" s="50">
        <v>253033</v>
      </c>
      <c r="E205" s="15">
        <v>927</v>
      </c>
      <c r="F205" s="50">
        <v>44707</v>
      </c>
      <c r="G205" s="50">
        <v>74518</v>
      </c>
      <c r="H205" s="50">
        <v>3601</v>
      </c>
      <c r="I205" s="50">
        <v>37555</v>
      </c>
      <c r="J205" s="50">
        <v>69244</v>
      </c>
      <c r="K205" s="50">
        <v>111888</v>
      </c>
      <c r="L205" s="50">
        <v>13980</v>
      </c>
      <c r="M205" s="50">
        <v>10990</v>
      </c>
      <c r="N205" s="50">
        <v>43321</v>
      </c>
      <c r="O205" s="50">
        <v>35429</v>
      </c>
      <c r="P205" s="50">
        <v>10462</v>
      </c>
      <c r="Q205" s="50">
        <v>8021</v>
      </c>
      <c r="R205" s="50">
        <v>24961</v>
      </c>
      <c r="S205" s="50">
        <v>25621</v>
      </c>
      <c r="T205" s="50">
        <v>11255</v>
      </c>
      <c r="U205" s="50">
        <v>14188</v>
      </c>
      <c r="V205" s="50">
        <v>-7953</v>
      </c>
      <c r="W205" s="45">
        <v>2347849</v>
      </c>
      <c r="X205" s="44"/>
      <c r="Y205" s="44">
        <v>7462.4</v>
      </c>
      <c r="Z205" s="47"/>
    </row>
    <row r="206" spans="1:26" s="45" customFormat="1" ht="14.5" x14ac:dyDescent="0.35">
      <c r="A206" s="38" t="s">
        <v>731</v>
      </c>
      <c r="B206" s="39">
        <v>2017</v>
      </c>
      <c r="C206" s="40">
        <v>197886883</v>
      </c>
      <c r="D206" s="41">
        <v>74548.80732518743</v>
      </c>
      <c r="E206" s="41">
        <v>659.57633946943929</v>
      </c>
      <c r="F206" s="41">
        <v>8647.5538844734001</v>
      </c>
      <c r="G206" s="41">
        <v>446.5860294492125</v>
      </c>
      <c r="H206" s="41">
        <v>585.56171498199433</v>
      </c>
      <c r="I206" s="41">
        <v>1053.6899320089838</v>
      </c>
      <c r="J206" s="41">
        <v>3232.774886740001</v>
      </c>
      <c r="K206" s="41">
        <v>4177.7003926103116</v>
      </c>
      <c r="L206" s="41">
        <v>872.20130991048018</v>
      </c>
      <c r="M206" s="41">
        <v>1656.9185819679126</v>
      </c>
      <c r="N206" s="41">
        <v>1266.7252220773532</v>
      </c>
      <c r="O206" s="41">
        <v>5181.8712568300343</v>
      </c>
      <c r="P206" s="41">
        <v>1817.9304134507972</v>
      </c>
      <c r="Q206" s="41">
        <v>784.51691616100902</v>
      </c>
      <c r="R206" s="41">
        <v>7625.8497969330565</v>
      </c>
      <c r="S206" s="41">
        <v>6589.2278987173022</v>
      </c>
      <c r="T206" s="41">
        <v>2796.2165967180881</v>
      </c>
      <c r="U206" s="41">
        <v>2493.322414969643</v>
      </c>
      <c r="V206" s="42">
        <v>-560.41806500794246</v>
      </c>
      <c r="W206" s="43"/>
      <c r="X206" s="44"/>
      <c r="Y206" s="44">
        <v>2855.8</v>
      </c>
      <c r="Z206" s="44">
        <v>123876.61284764852</v>
      </c>
    </row>
    <row r="207" spans="1:26" s="45" customFormat="1" ht="14.5" x14ac:dyDescent="0.35">
      <c r="A207" s="38" t="s">
        <v>731</v>
      </c>
      <c r="B207" s="39">
        <v>2018</v>
      </c>
      <c r="C207" s="40">
        <v>208345024</v>
      </c>
      <c r="D207" s="41">
        <v>78073.646754734698</v>
      </c>
      <c r="E207" s="41">
        <v>617.97539958652374</v>
      </c>
      <c r="F207" s="41">
        <v>11328.304218890484</v>
      </c>
      <c r="G207" s="41">
        <v>435.50144733027281</v>
      </c>
      <c r="H207" s="41">
        <v>594.2088702950573</v>
      </c>
      <c r="I207" s="41">
        <v>1251.4280644292826</v>
      </c>
      <c r="J207" s="41">
        <v>3353.1465317402281</v>
      </c>
      <c r="K207" s="41">
        <v>7976.5728138132044</v>
      </c>
      <c r="L207" s="41">
        <v>1023.2786165395235</v>
      </c>
      <c r="M207" s="41">
        <v>1763.7792909621896</v>
      </c>
      <c r="N207" s="41">
        <v>1116.9288950288178</v>
      </c>
      <c r="O207" s="41">
        <v>5761.0881708236229</v>
      </c>
      <c r="P207" s="41">
        <v>1931.4783753935208</v>
      </c>
      <c r="Q207" s="41">
        <v>916.84958305122586</v>
      </c>
      <c r="R207" s="41">
        <v>9156.5387206764353</v>
      </c>
      <c r="S207" s="41">
        <v>7462.6626149701842</v>
      </c>
      <c r="T207" s="41">
        <v>3051.8254479092911</v>
      </c>
      <c r="U207" s="41">
        <v>2751.7341683990662</v>
      </c>
      <c r="V207" s="42">
        <v>-655.254872071759</v>
      </c>
      <c r="W207" s="43"/>
      <c r="X207" s="44"/>
      <c r="Y207" s="44">
        <v>2855.8</v>
      </c>
      <c r="Z207" s="44">
        <v>137911.69311250187</v>
      </c>
    </row>
    <row r="208" spans="1:26" s="45" customFormat="1" x14ac:dyDescent="0.3">
      <c r="A208" s="38" t="s">
        <v>731</v>
      </c>
      <c r="B208" s="39">
        <v>2019</v>
      </c>
      <c r="C208" s="40">
        <v>268536170</v>
      </c>
      <c r="D208" s="46"/>
      <c r="E208" s="46"/>
      <c r="F208" s="46"/>
      <c r="G208" s="46"/>
      <c r="H208" s="46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5">
        <v>885711</v>
      </c>
      <c r="X208" s="44"/>
      <c r="Y208" s="44">
        <v>2855.8</v>
      </c>
      <c r="Z208" s="47">
        <v>138369</v>
      </c>
    </row>
    <row r="209" spans="1:26" s="45" customFormat="1" x14ac:dyDescent="0.3">
      <c r="A209" s="38" t="s">
        <v>731</v>
      </c>
      <c r="B209" s="39">
        <v>2020</v>
      </c>
      <c r="C209" s="40">
        <v>274361101</v>
      </c>
      <c r="D209" s="46">
        <v>84522</v>
      </c>
      <c r="E209" s="46">
        <v>689</v>
      </c>
      <c r="F209" s="46">
        <v>10831</v>
      </c>
      <c r="G209" s="46">
        <v>494</v>
      </c>
      <c r="H209" s="46">
        <v>589</v>
      </c>
      <c r="I209" s="40">
        <v>1724</v>
      </c>
      <c r="J209" s="40">
        <v>3556</v>
      </c>
      <c r="K209" s="40">
        <v>9369</v>
      </c>
      <c r="L209" s="40">
        <v>796</v>
      </c>
      <c r="M209" s="40">
        <v>2069</v>
      </c>
      <c r="N209" s="40">
        <v>1162</v>
      </c>
      <c r="O209" s="40">
        <v>6506</v>
      </c>
      <c r="P209" s="40">
        <v>1879</v>
      </c>
      <c r="Q209" s="40">
        <v>872</v>
      </c>
      <c r="R209" s="40">
        <v>10582</v>
      </c>
      <c r="S209" s="40">
        <v>7451</v>
      </c>
      <c r="T209" s="40">
        <v>4049</v>
      </c>
      <c r="U209" s="40">
        <v>2611</v>
      </c>
      <c r="V209" s="40">
        <v>-632</v>
      </c>
      <c r="W209" s="45">
        <v>905629</v>
      </c>
      <c r="X209" s="44"/>
      <c r="Y209" s="44">
        <v>2855.8</v>
      </c>
      <c r="Z209" s="47">
        <v>149117</v>
      </c>
    </row>
    <row r="210" spans="1:26" s="45" customFormat="1" x14ac:dyDescent="0.3">
      <c r="A210" s="38" t="s">
        <v>731</v>
      </c>
      <c r="B210" s="39">
        <v>2021</v>
      </c>
      <c r="C210" s="40">
        <v>275658466</v>
      </c>
      <c r="D210" s="46">
        <v>88260</v>
      </c>
      <c r="E210" s="46">
        <v>823</v>
      </c>
      <c r="F210" s="46">
        <v>11987</v>
      </c>
      <c r="G210" s="46">
        <v>482</v>
      </c>
      <c r="H210" s="46">
        <v>584</v>
      </c>
      <c r="I210" s="40">
        <v>1972</v>
      </c>
      <c r="J210" s="40">
        <v>3890</v>
      </c>
      <c r="K210" s="40">
        <v>13166</v>
      </c>
      <c r="L210" s="40">
        <v>1368</v>
      </c>
      <c r="M210" s="40">
        <v>2162</v>
      </c>
      <c r="N210" s="40">
        <v>1374</v>
      </c>
      <c r="O210" s="40">
        <v>6997</v>
      </c>
      <c r="P210" s="40">
        <v>2112</v>
      </c>
      <c r="Q210" s="40">
        <v>994</v>
      </c>
      <c r="R210" s="40">
        <v>12177</v>
      </c>
      <c r="S210" s="40">
        <v>9417</v>
      </c>
      <c r="T210" s="40">
        <v>4567</v>
      </c>
      <c r="U210" s="40">
        <v>2935</v>
      </c>
      <c r="V210" s="40">
        <v>-577</v>
      </c>
      <c r="W210" s="45">
        <v>920906</v>
      </c>
      <c r="X210" s="44"/>
      <c r="Y210" s="44">
        <v>2855.8</v>
      </c>
      <c r="Z210" s="47">
        <v>164688</v>
      </c>
    </row>
    <row r="211" spans="1:26" s="45" customFormat="1" x14ac:dyDescent="0.3">
      <c r="A211" s="38" t="s">
        <v>731</v>
      </c>
      <c r="B211" s="39">
        <v>2022</v>
      </c>
      <c r="C211" s="40">
        <v>200739628</v>
      </c>
      <c r="D211" s="46">
        <v>106707</v>
      </c>
      <c r="E211" s="46">
        <v>1066</v>
      </c>
      <c r="F211" s="46">
        <v>14367</v>
      </c>
      <c r="G211" s="46">
        <v>447</v>
      </c>
      <c r="H211" s="46">
        <v>561</v>
      </c>
      <c r="I211" s="40">
        <v>2195</v>
      </c>
      <c r="J211" s="40">
        <v>4382</v>
      </c>
      <c r="K211" s="40">
        <v>16561</v>
      </c>
      <c r="L211" s="40">
        <v>1507</v>
      </c>
      <c r="M211" s="40">
        <v>2387</v>
      </c>
      <c r="N211" s="40">
        <v>1620</v>
      </c>
      <c r="O211" s="40">
        <v>7498</v>
      </c>
      <c r="P211" s="40">
        <v>2215</v>
      </c>
      <c r="Q211" s="40">
        <v>1227</v>
      </c>
      <c r="R211" s="40">
        <v>12376</v>
      </c>
      <c r="S211" s="40">
        <v>9840</v>
      </c>
      <c r="T211" s="40">
        <v>5645</v>
      </c>
      <c r="U211" s="40">
        <v>3203</v>
      </c>
      <c r="V211" s="40">
        <v>-625</v>
      </c>
      <c r="W211" s="45">
        <v>936183</v>
      </c>
      <c r="X211" s="45">
        <v>408721</v>
      </c>
      <c r="Y211" s="44">
        <v>2855.8</v>
      </c>
      <c r="Z211" s="47">
        <v>193180</v>
      </c>
    </row>
    <row r="212" spans="1:26" s="45" customFormat="1" ht="14.5" x14ac:dyDescent="0.35">
      <c r="A212" s="38" t="s">
        <v>731</v>
      </c>
      <c r="B212" s="39">
        <v>2023</v>
      </c>
      <c r="C212" s="40">
        <v>125820790</v>
      </c>
      <c r="D212" s="50">
        <v>122054</v>
      </c>
      <c r="E212" s="15">
        <v>923</v>
      </c>
      <c r="F212" s="50">
        <v>16628</v>
      </c>
      <c r="G212" s="15">
        <v>754</v>
      </c>
      <c r="H212" s="15">
        <v>539</v>
      </c>
      <c r="I212" s="50">
        <v>2317</v>
      </c>
      <c r="J212" s="50">
        <v>4864</v>
      </c>
      <c r="K212" s="50">
        <v>19821</v>
      </c>
      <c r="L212" s="50">
        <v>1952</v>
      </c>
      <c r="M212" s="50">
        <v>2525</v>
      </c>
      <c r="N212" s="50">
        <v>1916</v>
      </c>
      <c r="O212" s="50">
        <v>8201</v>
      </c>
      <c r="P212" s="50">
        <v>2428</v>
      </c>
      <c r="Q212" s="50">
        <v>1454</v>
      </c>
      <c r="R212" s="50">
        <v>12884</v>
      </c>
      <c r="S212" s="50">
        <v>11144</v>
      </c>
      <c r="T212" s="50">
        <v>5855</v>
      </c>
      <c r="U212" s="50">
        <v>3492</v>
      </c>
      <c r="V212" s="15">
        <v>-943</v>
      </c>
      <c r="W212" s="45">
        <v>951460</v>
      </c>
      <c r="X212" s="44"/>
      <c r="Y212" s="44">
        <v>2855.8</v>
      </c>
      <c r="Z212" s="47"/>
    </row>
    <row r="213" spans="1:26" s="45" customFormat="1" ht="14.5" x14ac:dyDescent="0.35">
      <c r="A213" s="38" t="s">
        <v>732</v>
      </c>
      <c r="B213" s="39">
        <v>2017</v>
      </c>
      <c r="C213" s="40">
        <v>2188436615</v>
      </c>
      <c r="D213" s="41">
        <v>67612.09669867222</v>
      </c>
      <c r="E213" s="41">
        <v>236.70573152955069</v>
      </c>
      <c r="F213" s="41">
        <v>6463.6765185403146</v>
      </c>
      <c r="G213" s="41">
        <v>391.66320830389157</v>
      </c>
      <c r="H213" s="41">
        <v>700.84944512355742</v>
      </c>
      <c r="I213" s="41">
        <v>1071.6675036728254</v>
      </c>
      <c r="J213" s="41">
        <v>5295.9575852865746</v>
      </c>
      <c r="K213" s="41">
        <v>7907.699308481182</v>
      </c>
      <c r="L213" s="41">
        <v>854.84406991226183</v>
      </c>
      <c r="M213" s="41">
        <v>4305.5960075869234</v>
      </c>
      <c r="N213" s="41">
        <v>1765.4242417318137</v>
      </c>
      <c r="O213" s="41">
        <v>7352.4947385099904</v>
      </c>
      <c r="P213" s="41">
        <v>1408.7219391587114</v>
      </c>
      <c r="Q213" s="41">
        <v>863.1672196546192</v>
      </c>
      <c r="R213" s="41">
        <v>11817.989258813566</v>
      </c>
      <c r="S213" s="41">
        <v>7335.2677697170329</v>
      </c>
      <c r="T213" s="41">
        <v>4819.4066556292373</v>
      </c>
      <c r="U213" s="41">
        <v>2802.9617874485471</v>
      </c>
      <c r="V213" s="42">
        <v>-659.04352827436628</v>
      </c>
      <c r="W213" s="43"/>
      <c r="X213" s="44"/>
      <c r="Y213" s="44">
        <v>17950.3</v>
      </c>
      <c r="Z213" s="44">
        <v>132347.14615949846</v>
      </c>
    </row>
    <row r="214" spans="1:26" s="45" customFormat="1" ht="14.5" x14ac:dyDescent="0.35">
      <c r="A214" s="38" t="s">
        <v>732</v>
      </c>
      <c r="B214" s="39">
        <v>2018</v>
      </c>
      <c r="C214" s="40">
        <v>3122383660</v>
      </c>
      <c r="D214" s="41">
        <v>70031.827015918505</v>
      </c>
      <c r="E214" s="41">
        <v>221.77617702912181</v>
      </c>
      <c r="F214" s="41">
        <v>7489.3610172328918</v>
      </c>
      <c r="G214" s="41">
        <v>333.49623785438757</v>
      </c>
      <c r="H214" s="41">
        <v>741.03034920320204</v>
      </c>
      <c r="I214" s="41">
        <v>1266.75363519346</v>
      </c>
      <c r="J214" s="41">
        <v>5498.8053282966739</v>
      </c>
      <c r="K214" s="41">
        <v>12710.729974759948</v>
      </c>
      <c r="L214" s="41">
        <v>1002.9148629765477</v>
      </c>
      <c r="M214" s="41">
        <v>4583.4224654748577</v>
      </c>
      <c r="N214" s="41">
        <v>1395.8997610748002</v>
      </c>
      <c r="O214" s="41">
        <v>8169.2778094753176</v>
      </c>
      <c r="P214" s="41">
        <v>1496.7107334227567</v>
      </c>
      <c r="Q214" s="41">
        <v>1008.7666551748426</v>
      </c>
      <c r="R214" s="41">
        <v>12746.023929651663</v>
      </c>
      <c r="S214" s="41">
        <v>8309.3450164425394</v>
      </c>
      <c r="T214" s="41">
        <v>4889.5388728117678</v>
      </c>
      <c r="U214" s="41">
        <v>3092.5714408656786</v>
      </c>
      <c r="V214" s="42">
        <v>-769.66435757672616</v>
      </c>
      <c r="W214" s="43"/>
      <c r="X214" s="44"/>
      <c r="Y214" s="44">
        <v>17950.3</v>
      </c>
      <c r="Z214" s="44">
        <v>144218.58692528223</v>
      </c>
    </row>
    <row r="215" spans="1:26" s="45" customFormat="1" x14ac:dyDescent="0.3">
      <c r="A215" s="38" t="s">
        <v>732</v>
      </c>
      <c r="B215" s="39">
        <v>2019</v>
      </c>
      <c r="C215" s="40">
        <v>2345485860</v>
      </c>
      <c r="D215" s="46"/>
      <c r="E215" s="46"/>
      <c r="F215" s="46"/>
      <c r="G215" s="46"/>
      <c r="H215" s="46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5">
        <v>1157873</v>
      </c>
      <c r="X215" s="44"/>
      <c r="Y215" s="44">
        <v>17950.3</v>
      </c>
      <c r="Z215" s="47">
        <v>156231</v>
      </c>
    </row>
    <row r="216" spans="1:26" s="45" customFormat="1" x14ac:dyDescent="0.3">
      <c r="A216" s="38" t="s">
        <v>732</v>
      </c>
      <c r="B216" s="39">
        <v>2020</v>
      </c>
      <c r="C216" s="40">
        <v>618992783</v>
      </c>
      <c r="D216" s="46">
        <v>81426</v>
      </c>
      <c r="E216" s="46">
        <v>247</v>
      </c>
      <c r="F216" s="46">
        <v>7929</v>
      </c>
      <c r="G216" s="46">
        <v>381</v>
      </c>
      <c r="H216" s="46">
        <v>722</v>
      </c>
      <c r="I216" s="40">
        <v>1748</v>
      </c>
      <c r="J216" s="40">
        <v>5845</v>
      </c>
      <c r="K216" s="40">
        <v>14735</v>
      </c>
      <c r="L216" s="40">
        <v>781</v>
      </c>
      <c r="M216" s="40">
        <v>5377</v>
      </c>
      <c r="N216" s="40">
        <v>1470</v>
      </c>
      <c r="O216" s="40">
        <v>9219</v>
      </c>
      <c r="P216" s="40">
        <v>1456</v>
      </c>
      <c r="Q216" s="40">
        <v>959</v>
      </c>
      <c r="R216" s="40">
        <v>16205</v>
      </c>
      <c r="S216" s="40">
        <v>9452</v>
      </c>
      <c r="T216" s="40">
        <v>5383</v>
      </c>
      <c r="U216" s="40">
        <v>2921</v>
      </c>
      <c r="V216" s="40">
        <v>-794</v>
      </c>
      <c r="W216" s="45">
        <v>1177718</v>
      </c>
      <c r="X216" s="44"/>
      <c r="Y216" s="44">
        <v>17950.3</v>
      </c>
      <c r="Z216" s="47">
        <v>165462</v>
      </c>
    </row>
    <row r="217" spans="1:26" s="45" customFormat="1" x14ac:dyDescent="0.3">
      <c r="A217" s="38" t="s">
        <v>732</v>
      </c>
      <c r="B217" s="39">
        <v>2021</v>
      </c>
      <c r="C217" s="40">
        <v>1334563666</v>
      </c>
      <c r="D217" s="46">
        <v>85426</v>
      </c>
      <c r="E217" s="46">
        <v>295</v>
      </c>
      <c r="F217" s="46">
        <v>9887</v>
      </c>
      <c r="G217" s="46">
        <v>371</v>
      </c>
      <c r="H217" s="46">
        <v>725</v>
      </c>
      <c r="I217" s="40">
        <v>2010</v>
      </c>
      <c r="J217" s="40">
        <v>6397</v>
      </c>
      <c r="K217" s="40">
        <v>18398</v>
      </c>
      <c r="L217" s="40">
        <v>1340</v>
      </c>
      <c r="M217" s="40">
        <v>5617</v>
      </c>
      <c r="N217" s="40">
        <v>1776</v>
      </c>
      <c r="O217" s="40">
        <v>9866</v>
      </c>
      <c r="P217" s="40">
        <v>1636</v>
      </c>
      <c r="Q217" s="40">
        <v>1093</v>
      </c>
      <c r="R217" s="40">
        <v>19469</v>
      </c>
      <c r="S217" s="40">
        <v>11814</v>
      </c>
      <c r="T217" s="40">
        <v>6435</v>
      </c>
      <c r="U217" s="40">
        <v>3288</v>
      </c>
      <c r="V217" s="40">
        <v>-680</v>
      </c>
      <c r="W217" s="45">
        <v>1213213</v>
      </c>
      <c r="X217" s="44"/>
      <c r="Y217" s="44">
        <v>17950.3</v>
      </c>
      <c r="Z217" s="47">
        <v>185167</v>
      </c>
    </row>
    <row r="218" spans="1:26" s="45" customFormat="1" x14ac:dyDescent="0.3">
      <c r="A218" s="38" t="s">
        <v>732</v>
      </c>
      <c r="B218" s="39">
        <v>2022</v>
      </c>
      <c r="C218" s="40">
        <v>3067671084</v>
      </c>
      <c r="D218" s="46">
        <v>108371</v>
      </c>
      <c r="E218" s="46">
        <v>383</v>
      </c>
      <c r="F218" s="46">
        <v>9148</v>
      </c>
      <c r="G218" s="46">
        <v>345</v>
      </c>
      <c r="H218" s="46">
        <v>706</v>
      </c>
      <c r="I218" s="40">
        <v>2227</v>
      </c>
      <c r="J218" s="40">
        <v>7197</v>
      </c>
      <c r="K218" s="40">
        <v>23683</v>
      </c>
      <c r="L218" s="40">
        <v>1477</v>
      </c>
      <c r="M218" s="40">
        <v>6204</v>
      </c>
      <c r="N218" s="40">
        <v>2066</v>
      </c>
      <c r="O218" s="40">
        <v>10616</v>
      </c>
      <c r="P218" s="40">
        <v>1716</v>
      </c>
      <c r="Q218" s="40">
        <v>1350</v>
      </c>
      <c r="R218" s="40">
        <v>20236</v>
      </c>
      <c r="S218" s="40">
        <v>12433</v>
      </c>
      <c r="T218" s="40">
        <v>6098</v>
      </c>
      <c r="U218" s="40">
        <v>3598</v>
      </c>
      <c r="V218" s="40">
        <v>-723</v>
      </c>
      <c r="W218" s="45">
        <v>1248708</v>
      </c>
      <c r="X218" s="45">
        <v>429887</v>
      </c>
      <c r="Y218" s="44">
        <v>17950.3</v>
      </c>
      <c r="Z218" s="47">
        <v>217130</v>
      </c>
    </row>
    <row r="219" spans="1:26" s="45" customFormat="1" ht="14.5" x14ac:dyDescent="0.35">
      <c r="A219" s="38" t="s">
        <v>732</v>
      </c>
      <c r="B219" s="39">
        <v>2023</v>
      </c>
      <c r="C219" s="40">
        <v>4800778502</v>
      </c>
      <c r="D219" s="50">
        <v>118157</v>
      </c>
      <c r="E219" s="15">
        <v>331</v>
      </c>
      <c r="F219" s="50">
        <v>9985</v>
      </c>
      <c r="G219" s="15">
        <v>215</v>
      </c>
      <c r="H219" s="15">
        <v>689</v>
      </c>
      <c r="I219" s="50">
        <v>2355</v>
      </c>
      <c r="J219" s="50">
        <v>7984</v>
      </c>
      <c r="K219" s="50">
        <v>27590</v>
      </c>
      <c r="L219" s="50">
        <v>1913</v>
      </c>
      <c r="M219" s="50">
        <v>6562</v>
      </c>
      <c r="N219" s="50">
        <v>2420</v>
      </c>
      <c r="O219" s="50">
        <v>11529</v>
      </c>
      <c r="P219" s="50">
        <v>1881</v>
      </c>
      <c r="Q219" s="50">
        <v>1600</v>
      </c>
      <c r="R219" s="50">
        <v>21271</v>
      </c>
      <c r="S219" s="50">
        <v>14234</v>
      </c>
      <c r="T219" s="50">
        <v>6875</v>
      </c>
      <c r="U219" s="50">
        <v>3929</v>
      </c>
      <c r="V219" s="50">
        <v>-1195</v>
      </c>
      <c r="W219" s="45">
        <v>1284204</v>
      </c>
      <c r="X219" s="44"/>
      <c r="Y219" s="44">
        <v>17950.3</v>
      </c>
      <c r="Z219" s="47"/>
    </row>
    <row r="220" spans="1:26" s="45" customFormat="1" ht="14.5" x14ac:dyDescent="0.35">
      <c r="A220" s="38" t="s">
        <v>733</v>
      </c>
      <c r="B220" s="39">
        <v>2017</v>
      </c>
      <c r="C220" s="40">
        <v>96617045</v>
      </c>
      <c r="D220" s="41">
        <v>45134.756496374248</v>
      </c>
      <c r="E220" s="41">
        <v>1531.8605943686589</v>
      </c>
      <c r="F220" s="41">
        <v>5099.8841364699692</v>
      </c>
      <c r="G220" s="41">
        <v>350.59736251285199</v>
      </c>
      <c r="H220" s="41">
        <v>460.73130797242663</v>
      </c>
      <c r="I220" s="41">
        <v>2651.6614337438168</v>
      </c>
      <c r="J220" s="41">
        <v>3507.658446166326</v>
      </c>
      <c r="K220" s="41">
        <v>5598.9779600403099</v>
      </c>
      <c r="L220" s="41">
        <v>909.08544490669442</v>
      </c>
      <c r="M220" s="41">
        <v>1024.7846809843672</v>
      </c>
      <c r="N220" s="41">
        <v>755.93652726461039</v>
      </c>
      <c r="O220" s="41">
        <v>3705.2335007746665</v>
      </c>
      <c r="P220" s="41">
        <v>1036.0810306544292</v>
      </c>
      <c r="Q220" s="41">
        <v>667.33590843063052</v>
      </c>
      <c r="R220" s="41">
        <v>6923.523749047401</v>
      </c>
      <c r="S220" s="41">
        <v>4647.096920340623</v>
      </c>
      <c r="T220" s="41">
        <v>3265.5617444429008</v>
      </c>
      <c r="U220" s="41">
        <v>1160.0308380782321</v>
      </c>
      <c r="V220" s="42">
        <v>-335.44265147917855</v>
      </c>
      <c r="W220" s="43"/>
      <c r="X220" s="44"/>
      <c r="Y220" s="44">
        <v>897.3</v>
      </c>
      <c r="Z220" s="44">
        <v>88095.35543109398</v>
      </c>
    </row>
    <row r="221" spans="1:26" s="45" customFormat="1" ht="14.5" x14ac:dyDescent="0.35">
      <c r="A221" s="38" t="s">
        <v>733</v>
      </c>
      <c r="B221" s="39">
        <v>2018</v>
      </c>
      <c r="C221" s="40">
        <v>165447570</v>
      </c>
      <c r="D221" s="41">
        <v>48658.838375472049</v>
      </c>
      <c r="E221" s="41">
        <v>1435.2427554895391</v>
      </c>
      <c r="F221" s="41">
        <v>6587.7184530177383</v>
      </c>
      <c r="G221" s="41">
        <v>297.27511794753735</v>
      </c>
      <c r="H221" s="41">
        <v>471.91271634466352</v>
      </c>
      <c r="I221" s="41">
        <v>3169.2818130278092</v>
      </c>
      <c r="J221" s="41">
        <v>3934.5961390788943</v>
      </c>
      <c r="K221" s="41">
        <v>9814.1294044903734</v>
      </c>
      <c r="L221" s="41">
        <v>1066.5515928608465</v>
      </c>
      <c r="M221" s="41">
        <v>1090.8547004138227</v>
      </c>
      <c r="N221" s="41">
        <v>575.14461145489668</v>
      </c>
      <c r="O221" s="41">
        <v>4117.7283120996035</v>
      </c>
      <c r="P221" s="41">
        <v>1100.7946679685294</v>
      </c>
      <c r="Q221" s="41">
        <v>779.90243013977692</v>
      </c>
      <c r="R221" s="41">
        <v>8216.8711001578686</v>
      </c>
      <c r="S221" s="41">
        <v>5240.4416806743875</v>
      </c>
      <c r="T221" s="41">
        <v>3674.1170027577023</v>
      </c>
      <c r="U221" s="41">
        <v>1279.1588259927066</v>
      </c>
      <c r="V221" s="42">
        <v>-411.80674756677087</v>
      </c>
      <c r="W221" s="43"/>
      <c r="X221" s="44"/>
      <c r="Y221" s="44">
        <v>897.3</v>
      </c>
      <c r="Z221" s="44">
        <v>101098.75295182197</v>
      </c>
    </row>
    <row r="222" spans="1:26" s="45" customFormat="1" x14ac:dyDescent="0.3">
      <c r="A222" s="38" t="s">
        <v>733</v>
      </c>
      <c r="B222" s="39">
        <v>2019</v>
      </c>
      <c r="C222" s="40">
        <v>187324098</v>
      </c>
      <c r="D222" s="46"/>
      <c r="E222" s="46"/>
      <c r="F222" s="46"/>
      <c r="G222" s="46"/>
      <c r="H222" s="46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5">
        <v>605576</v>
      </c>
      <c r="X222" s="44"/>
      <c r="Y222" s="44">
        <v>897.3</v>
      </c>
      <c r="Z222" s="47">
        <v>107145</v>
      </c>
    </row>
    <row r="223" spans="1:26" s="45" customFormat="1" x14ac:dyDescent="0.3">
      <c r="A223" s="38" t="s">
        <v>733</v>
      </c>
      <c r="B223" s="39">
        <v>2020</v>
      </c>
      <c r="C223" s="40">
        <v>168276586</v>
      </c>
      <c r="D223" s="46">
        <v>59618</v>
      </c>
      <c r="E223" s="46">
        <v>1599</v>
      </c>
      <c r="F223" s="46">
        <v>5901</v>
      </c>
      <c r="G223" s="46">
        <v>339</v>
      </c>
      <c r="H223" s="46">
        <v>480</v>
      </c>
      <c r="I223" s="40">
        <v>4359</v>
      </c>
      <c r="J223" s="40">
        <v>4932</v>
      </c>
      <c r="K223" s="40">
        <v>11418</v>
      </c>
      <c r="L223" s="40">
        <v>830</v>
      </c>
      <c r="M223" s="40">
        <v>1280</v>
      </c>
      <c r="N223" s="40">
        <v>653</v>
      </c>
      <c r="O223" s="40">
        <v>4648</v>
      </c>
      <c r="P223" s="40">
        <v>1071</v>
      </c>
      <c r="Q223" s="40">
        <v>742</v>
      </c>
      <c r="R223" s="40">
        <v>9139</v>
      </c>
      <c r="S223" s="40">
        <v>5324</v>
      </c>
      <c r="T223" s="40">
        <v>3866</v>
      </c>
      <c r="U223" s="40">
        <v>1197</v>
      </c>
      <c r="V223" s="40">
        <v>-403</v>
      </c>
      <c r="W223" s="45">
        <v>645541</v>
      </c>
      <c r="X223" s="44"/>
      <c r="Y223" s="44">
        <v>897.3</v>
      </c>
      <c r="Z223" s="47">
        <v>116992</v>
      </c>
    </row>
    <row r="224" spans="1:26" s="45" customFormat="1" x14ac:dyDescent="0.3">
      <c r="A224" s="38" t="s">
        <v>733</v>
      </c>
      <c r="B224" s="39">
        <v>2021</v>
      </c>
      <c r="C224" s="40">
        <v>166905985</v>
      </c>
      <c r="D224" s="46">
        <v>59574</v>
      </c>
      <c r="E224" s="46">
        <v>1911</v>
      </c>
      <c r="F224" s="46">
        <v>6286</v>
      </c>
      <c r="G224" s="46">
        <v>330</v>
      </c>
      <c r="H224" s="46">
        <v>407</v>
      </c>
      <c r="I224" s="40">
        <v>4945</v>
      </c>
      <c r="J224" s="40">
        <v>5443</v>
      </c>
      <c r="K224" s="40">
        <v>14483</v>
      </c>
      <c r="L224" s="40">
        <v>1425</v>
      </c>
      <c r="M224" s="40">
        <v>1337</v>
      </c>
      <c r="N224" s="40">
        <v>768</v>
      </c>
      <c r="O224" s="40">
        <v>4983</v>
      </c>
      <c r="P224" s="40">
        <v>1204</v>
      </c>
      <c r="Q224" s="40">
        <v>845</v>
      </c>
      <c r="R224" s="40">
        <v>9481</v>
      </c>
      <c r="S224" s="40">
        <v>6735</v>
      </c>
      <c r="T224" s="40">
        <v>4400</v>
      </c>
      <c r="U224" s="40">
        <v>1352</v>
      </c>
      <c r="V224" s="40">
        <v>-334</v>
      </c>
      <c r="W224" s="45">
        <v>649528</v>
      </c>
      <c r="X224" s="44"/>
      <c r="Y224" s="44">
        <v>897.3</v>
      </c>
      <c r="Z224" s="47">
        <v>125574</v>
      </c>
    </row>
    <row r="225" spans="1:26" s="45" customFormat="1" x14ac:dyDescent="0.3">
      <c r="A225" s="38" t="s">
        <v>733</v>
      </c>
      <c r="B225" s="39">
        <v>2022</v>
      </c>
      <c r="C225" s="40">
        <v>284598621</v>
      </c>
      <c r="D225" s="46">
        <v>71724</v>
      </c>
      <c r="E225" s="46">
        <v>2476</v>
      </c>
      <c r="F225" s="46">
        <v>7372</v>
      </c>
      <c r="G225" s="46">
        <v>306</v>
      </c>
      <c r="H225" s="46">
        <v>377</v>
      </c>
      <c r="I225" s="40">
        <v>5544</v>
      </c>
      <c r="J225" s="40">
        <v>5727</v>
      </c>
      <c r="K225" s="40">
        <v>18605</v>
      </c>
      <c r="L225" s="40">
        <v>1571</v>
      </c>
      <c r="M225" s="40">
        <v>1477</v>
      </c>
      <c r="N225" s="40">
        <v>911</v>
      </c>
      <c r="O225" s="40">
        <v>5354</v>
      </c>
      <c r="P225" s="40">
        <v>1262</v>
      </c>
      <c r="Q225" s="40">
        <v>1044</v>
      </c>
      <c r="R225" s="40">
        <v>8444</v>
      </c>
      <c r="S225" s="40">
        <v>6965</v>
      </c>
      <c r="T225" s="40">
        <v>4394</v>
      </c>
      <c r="U225" s="40">
        <v>1487</v>
      </c>
      <c r="V225" s="40">
        <v>-364</v>
      </c>
      <c r="W225" s="45">
        <v>653515</v>
      </c>
      <c r="X225" s="45">
        <v>259664</v>
      </c>
      <c r="Y225" s="44">
        <v>897.3</v>
      </c>
      <c r="Z225" s="47">
        <v>144676</v>
      </c>
    </row>
    <row r="226" spans="1:26" s="45" customFormat="1" ht="14.5" x14ac:dyDescent="0.35">
      <c r="A226" s="38" t="s">
        <v>733</v>
      </c>
      <c r="B226" s="39">
        <v>2023</v>
      </c>
      <c r="C226" s="40">
        <v>402291257</v>
      </c>
      <c r="D226" s="50">
        <v>70175</v>
      </c>
      <c r="E226" s="50">
        <v>2145</v>
      </c>
      <c r="F226" s="50">
        <v>7996</v>
      </c>
      <c r="G226" s="15">
        <v>455</v>
      </c>
      <c r="H226" s="15">
        <v>469</v>
      </c>
      <c r="I226" s="50">
        <v>5839</v>
      </c>
      <c r="J226" s="50">
        <v>6064</v>
      </c>
      <c r="K226" s="50">
        <v>21731</v>
      </c>
      <c r="L226" s="50">
        <v>2035</v>
      </c>
      <c r="M226" s="50">
        <v>1562</v>
      </c>
      <c r="N226" s="50">
        <v>1070</v>
      </c>
      <c r="O226" s="50">
        <v>5829</v>
      </c>
      <c r="P226" s="50">
        <v>1384</v>
      </c>
      <c r="Q226" s="50">
        <v>1237</v>
      </c>
      <c r="R226" s="50">
        <v>9880</v>
      </c>
      <c r="S226" s="50">
        <v>7527</v>
      </c>
      <c r="T226" s="50">
        <v>4507</v>
      </c>
      <c r="U226" s="50">
        <v>1629</v>
      </c>
      <c r="V226" s="15">
        <v>-603</v>
      </c>
      <c r="W226" s="45">
        <v>657502</v>
      </c>
      <c r="X226" s="44"/>
      <c r="Y226" s="44">
        <v>897.3</v>
      </c>
      <c r="Z226" s="47"/>
    </row>
    <row r="227" spans="1:26" s="45" customFormat="1" ht="14.5" x14ac:dyDescent="0.35">
      <c r="A227" s="38" t="s">
        <v>734</v>
      </c>
      <c r="B227" s="39">
        <v>2017</v>
      </c>
      <c r="C227" s="40">
        <v>318585599</v>
      </c>
      <c r="D227" s="41">
        <v>79951.740529338029</v>
      </c>
      <c r="E227" s="41">
        <v>789.01910509850234</v>
      </c>
      <c r="F227" s="41">
        <v>1931.1286943803516</v>
      </c>
      <c r="G227" s="41">
        <v>193.74494738593643</v>
      </c>
      <c r="H227" s="41">
        <v>363.38693384127544</v>
      </c>
      <c r="I227" s="41">
        <v>468.77189648694775</v>
      </c>
      <c r="J227" s="41">
        <v>1790.7359897343376</v>
      </c>
      <c r="K227" s="41">
        <v>5770.5885246772041</v>
      </c>
      <c r="L227" s="41">
        <v>1041.4343998931108</v>
      </c>
      <c r="M227" s="41">
        <v>999.2006356171438</v>
      </c>
      <c r="N227" s="41">
        <v>1358.6334549865858</v>
      </c>
      <c r="O227" s="41">
        <v>3886.5970503507201</v>
      </c>
      <c r="P227" s="41">
        <v>1920.6678601879589</v>
      </c>
      <c r="Q227" s="41">
        <v>873.89226104011129</v>
      </c>
      <c r="R227" s="41">
        <v>6822.3662148398507</v>
      </c>
      <c r="S227" s="41">
        <v>4768.4425914766271</v>
      </c>
      <c r="T227" s="41">
        <v>2310.9589374609823</v>
      </c>
      <c r="U227" s="41">
        <v>1891.3365761295515</v>
      </c>
      <c r="V227" s="42">
        <v>-572.48530770258901</v>
      </c>
      <c r="W227" s="43"/>
      <c r="X227" s="44"/>
      <c r="Y227" s="44">
        <v>3285.7</v>
      </c>
      <c r="Z227" s="44">
        <v>116560.16129522264</v>
      </c>
    </row>
    <row r="228" spans="1:26" s="45" customFormat="1" ht="14.5" x14ac:dyDescent="0.35">
      <c r="A228" s="38" t="s">
        <v>734</v>
      </c>
      <c r="B228" s="39">
        <v>2018</v>
      </c>
      <c r="C228" s="40">
        <v>403402541</v>
      </c>
      <c r="D228" s="41">
        <v>79231.417162925631</v>
      </c>
      <c r="E228" s="41">
        <v>739.25392343040585</v>
      </c>
      <c r="F228" s="41">
        <v>1972.3413012658939</v>
      </c>
      <c r="G228" s="41">
        <v>268.13178786373589</v>
      </c>
      <c r="H228" s="41">
        <v>386.53690678176326</v>
      </c>
      <c r="I228" s="41">
        <v>550.15589285998726</v>
      </c>
      <c r="J228" s="41">
        <v>1857.838692614333</v>
      </c>
      <c r="K228" s="41">
        <v>6423.3452316406892</v>
      </c>
      <c r="L228" s="41">
        <v>1221.8252137785357</v>
      </c>
      <c r="M228" s="41">
        <v>1063.6211979402806</v>
      </c>
      <c r="N228" s="41">
        <v>1017.3760125534974</v>
      </c>
      <c r="O228" s="41">
        <v>4318.3222541081232</v>
      </c>
      <c r="P228" s="41">
        <v>2040.6328046542658</v>
      </c>
      <c r="Q228" s="41">
        <v>1021.3008013735175</v>
      </c>
      <c r="R228" s="41">
        <v>7139.1675107226656</v>
      </c>
      <c r="S228" s="41">
        <v>5335.9228729802835</v>
      </c>
      <c r="T228" s="41">
        <v>1995.0537464160104</v>
      </c>
      <c r="U228" s="41">
        <v>2087.5539932585793</v>
      </c>
      <c r="V228" s="42">
        <v>-438.74123227371149</v>
      </c>
      <c r="W228" s="43"/>
      <c r="X228" s="44"/>
      <c r="Y228" s="44">
        <v>3285.7</v>
      </c>
      <c r="Z228" s="44">
        <v>118231.05607489451</v>
      </c>
    </row>
    <row r="229" spans="1:26" s="45" customFormat="1" x14ac:dyDescent="0.3">
      <c r="A229" s="38" t="s">
        <v>734</v>
      </c>
      <c r="B229" s="39">
        <v>2019</v>
      </c>
      <c r="C229" s="40">
        <v>379480630</v>
      </c>
      <c r="D229" s="46"/>
      <c r="E229" s="46"/>
      <c r="F229" s="46"/>
      <c r="G229" s="46"/>
      <c r="H229" s="46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5">
        <v>638289</v>
      </c>
      <c r="X229" s="44"/>
      <c r="Y229" s="44">
        <v>3285.7</v>
      </c>
      <c r="Z229" s="47">
        <v>140461</v>
      </c>
    </row>
    <row r="230" spans="1:26" s="45" customFormat="1" x14ac:dyDescent="0.3">
      <c r="A230" s="38" t="s">
        <v>734</v>
      </c>
      <c r="B230" s="39">
        <v>2020</v>
      </c>
      <c r="C230" s="40">
        <v>408718260</v>
      </c>
      <c r="D230" s="46">
        <v>106716</v>
      </c>
      <c r="E230" s="46">
        <v>824</v>
      </c>
      <c r="F230" s="46">
        <v>2179</v>
      </c>
      <c r="G230" s="46">
        <v>312</v>
      </c>
      <c r="H230" s="46">
        <v>393</v>
      </c>
      <c r="I230" s="40">
        <v>761</v>
      </c>
      <c r="J230" s="40">
        <v>1971</v>
      </c>
      <c r="K230" s="40">
        <v>7481</v>
      </c>
      <c r="L230" s="40">
        <v>951</v>
      </c>
      <c r="M230" s="40">
        <v>1248</v>
      </c>
      <c r="N230" s="40">
        <v>1240</v>
      </c>
      <c r="O230" s="40">
        <v>4873</v>
      </c>
      <c r="P230" s="40">
        <v>1985</v>
      </c>
      <c r="Q230" s="40">
        <v>971</v>
      </c>
      <c r="R230" s="40">
        <v>9706</v>
      </c>
      <c r="S230" s="40">
        <v>5142</v>
      </c>
      <c r="T230" s="40">
        <v>1413</v>
      </c>
      <c r="U230" s="40">
        <v>1984</v>
      </c>
      <c r="V230" s="40">
        <v>-444</v>
      </c>
      <c r="W230" s="45">
        <v>657159</v>
      </c>
      <c r="X230" s="44"/>
      <c r="Y230" s="44">
        <v>3285.7</v>
      </c>
      <c r="Z230" s="47">
        <v>149707</v>
      </c>
    </row>
    <row r="231" spans="1:26" s="45" customFormat="1" x14ac:dyDescent="0.3">
      <c r="A231" s="38" t="s">
        <v>734</v>
      </c>
      <c r="B231" s="39">
        <v>2021</v>
      </c>
      <c r="C231" s="40">
        <v>473061810</v>
      </c>
      <c r="D231" s="46">
        <v>112303</v>
      </c>
      <c r="E231" s="46">
        <v>984</v>
      </c>
      <c r="F231" s="46">
        <v>2379</v>
      </c>
      <c r="G231" s="46">
        <v>305</v>
      </c>
      <c r="H231" s="46">
        <v>407</v>
      </c>
      <c r="I231" s="40">
        <v>883</v>
      </c>
      <c r="J231" s="40">
        <v>2157</v>
      </c>
      <c r="K231" s="40">
        <v>9772</v>
      </c>
      <c r="L231" s="40">
        <v>1633</v>
      </c>
      <c r="M231" s="40">
        <v>1304</v>
      </c>
      <c r="N231" s="40">
        <v>1459</v>
      </c>
      <c r="O231" s="40">
        <v>5215</v>
      </c>
      <c r="P231" s="40">
        <v>2231</v>
      </c>
      <c r="Q231" s="40">
        <v>1107</v>
      </c>
      <c r="R231" s="40">
        <v>10006</v>
      </c>
      <c r="S231" s="40">
        <v>6546</v>
      </c>
      <c r="T231" s="40">
        <v>1750</v>
      </c>
      <c r="U231" s="40">
        <v>2229</v>
      </c>
      <c r="V231" s="40">
        <v>-573</v>
      </c>
      <c r="W231" s="45">
        <v>669950</v>
      </c>
      <c r="X231" s="44"/>
      <c r="Y231" s="44">
        <v>3285.7</v>
      </c>
      <c r="Z231" s="47">
        <v>162097</v>
      </c>
    </row>
    <row r="232" spans="1:26" s="45" customFormat="1" x14ac:dyDescent="0.3">
      <c r="A232" s="38" t="s">
        <v>734</v>
      </c>
      <c r="B232" s="39">
        <v>2022</v>
      </c>
      <c r="C232" s="40">
        <v>505913306</v>
      </c>
      <c r="D232" s="46">
        <v>142236</v>
      </c>
      <c r="E232" s="46">
        <v>1276</v>
      </c>
      <c r="F232" s="46">
        <v>2545</v>
      </c>
      <c r="G232" s="46">
        <v>283</v>
      </c>
      <c r="H232" s="46">
        <v>416</v>
      </c>
      <c r="I232" s="40">
        <v>970</v>
      </c>
      <c r="J232" s="40">
        <v>2429</v>
      </c>
      <c r="K232" s="40">
        <v>12465</v>
      </c>
      <c r="L232" s="40">
        <v>1800</v>
      </c>
      <c r="M232" s="40">
        <v>1440</v>
      </c>
      <c r="N232" s="40">
        <v>1712</v>
      </c>
      <c r="O232" s="40">
        <v>5611</v>
      </c>
      <c r="P232" s="40">
        <v>2340</v>
      </c>
      <c r="Q232" s="40">
        <v>1367</v>
      </c>
      <c r="R232" s="40">
        <v>10891</v>
      </c>
      <c r="S232" s="40">
        <v>6858</v>
      </c>
      <c r="T232" s="40">
        <v>1942</v>
      </c>
      <c r="U232" s="40">
        <v>2430</v>
      </c>
      <c r="V232" s="40">
        <v>-622</v>
      </c>
      <c r="W232" s="45">
        <v>682740</v>
      </c>
      <c r="X232" s="45">
        <v>343754</v>
      </c>
      <c r="Y232" s="44">
        <v>3285.7</v>
      </c>
      <c r="Z232" s="47">
        <v>198389</v>
      </c>
    </row>
    <row r="233" spans="1:26" s="45" customFormat="1" ht="14.5" x14ac:dyDescent="0.35">
      <c r="A233" s="38" t="s">
        <v>734</v>
      </c>
      <c r="B233" s="39">
        <v>2023</v>
      </c>
      <c r="C233" s="40">
        <v>538764802</v>
      </c>
      <c r="D233" s="50">
        <v>149263</v>
      </c>
      <c r="E233" s="50">
        <v>1105</v>
      </c>
      <c r="F233" s="50">
        <v>2954</v>
      </c>
      <c r="G233" s="15">
        <v>689</v>
      </c>
      <c r="H233" s="15">
        <v>397</v>
      </c>
      <c r="I233" s="50">
        <v>1029</v>
      </c>
      <c r="J233" s="50">
        <v>2696</v>
      </c>
      <c r="K233" s="50">
        <v>14677</v>
      </c>
      <c r="L233" s="50">
        <v>2331</v>
      </c>
      <c r="M233" s="50">
        <v>1523</v>
      </c>
      <c r="N233" s="50">
        <v>2021</v>
      </c>
      <c r="O233" s="50">
        <v>6094</v>
      </c>
      <c r="P233" s="50">
        <v>2565</v>
      </c>
      <c r="Q233" s="50">
        <v>1620</v>
      </c>
      <c r="R233" s="50">
        <v>11003</v>
      </c>
      <c r="S233" s="50">
        <v>6495</v>
      </c>
      <c r="T233" s="50">
        <v>2262</v>
      </c>
      <c r="U233" s="50">
        <v>2649</v>
      </c>
      <c r="V233" s="15">
        <v>-649</v>
      </c>
      <c r="W233" s="45">
        <v>695531</v>
      </c>
      <c r="X233" s="44"/>
      <c r="Y233" s="44">
        <v>3285.7</v>
      </c>
      <c r="Z233" s="47"/>
    </row>
    <row r="234" spans="1:26" s="45" customFormat="1" ht="14.5" x14ac:dyDescent="0.35">
      <c r="A234" s="38" t="s">
        <v>735</v>
      </c>
      <c r="B234" s="39">
        <v>2017</v>
      </c>
      <c r="C234" s="40">
        <v>760225951</v>
      </c>
      <c r="D234" s="41">
        <v>57733.141191594434</v>
      </c>
      <c r="E234" s="41">
        <v>2495.0456678276146</v>
      </c>
      <c r="F234" s="41">
        <v>12123.526627159466</v>
      </c>
      <c r="G234" s="41">
        <v>1014.0480503908545</v>
      </c>
      <c r="H234" s="41">
        <v>1592.275352514612</v>
      </c>
      <c r="I234" s="41">
        <v>1400.1056637269974</v>
      </c>
      <c r="J234" s="41">
        <v>16084.666493947287</v>
      </c>
      <c r="K234" s="41">
        <v>19301.73388950996</v>
      </c>
      <c r="L234" s="41">
        <v>1516.5888448443425</v>
      </c>
      <c r="M234" s="41">
        <v>4350.9172304748663</v>
      </c>
      <c r="N234" s="41">
        <v>5742.6702620063352</v>
      </c>
      <c r="O234" s="41">
        <v>9811.5060917805422</v>
      </c>
      <c r="P234" s="41">
        <v>3457.3762796039828</v>
      </c>
      <c r="Q234" s="41">
        <v>2110.4498104118688</v>
      </c>
      <c r="R234" s="41">
        <v>8423.9305833533763</v>
      </c>
      <c r="S234" s="41">
        <v>7139.3967284106129</v>
      </c>
      <c r="T234" s="41">
        <v>4215.4754007880474</v>
      </c>
      <c r="U234" s="41">
        <v>3323.2156971504592</v>
      </c>
      <c r="V234" s="42">
        <v>-1822.9050537199207</v>
      </c>
      <c r="W234" s="43"/>
      <c r="X234" s="44"/>
      <c r="Y234" s="44">
        <v>3325</v>
      </c>
      <c r="Z234" s="44">
        <v>160013.16481177576</v>
      </c>
    </row>
    <row r="235" spans="1:26" s="45" customFormat="1" ht="14.5" x14ac:dyDescent="0.35">
      <c r="A235" s="38" t="s">
        <v>735</v>
      </c>
      <c r="B235" s="39">
        <v>2018</v>
      </c>
      <c r="C235" s="40">
        <v>819811673</v>
      </c>
      <c r="D235" s="41">
        <v>57711.146298932545</v>
      </c>
      <c r="E235" s="41">
        <v>2337.6776140919105</v>
      </c>
      <c r="F235" s="41">
        <v>13176.17708989606</v>
      </c>
      <c r="G235" s="41">
        <v>1026.9346743044835</v>
      </c>
      <c r="H235" s="41">
        <v>1717.2538574731993</v>
      </c>
      <c r="I235" s="41">
        <v>1655.1260320149486</v>
      </c>
      <c r="J235" s="41">
        <v>17306.878763727858</v>
      </c>
      <c r="K235" s="41">
        <v>20984.063186798285</v>
      </c>
      <c r="L235" s="41">
        <v>1779.2829675649923</v>
      </c>
      <c r="M235" s="41">
        <v>4631.4681796298646</v>
      </c>
      <c r="N235" s="41">
        <v>6135.271112261109</v>
      </c>
      <c r="O235" s="41">
        <v>10904.581688417145</v>
      </c>
      <c r="P235" s="41">
        <v>3673.3240558849006</v>
      </c>
      <c r="Q235" s="41">
        <v>2466.441435317045</v>
      </c>
      <c r="R235" s="41">
        <v>9462.2199146925159</v>
      </c>
      <c r="S235" s="41">
        <v>8180.334176647948</v>
      </c>
      <c r="T235" s="41">
        <v>4801.4988966134279</v>
      </c>
      <c r="U235" s="41">
        <v>3670.0735143275597</v>
      </c>
      <c r="V235" s="42">
        <v>-1577.3928407518574</v>
      </c>
      <c r="W235" s="43"/>
      <c r="X235" s="44"/>
      <c r="Y235" s="44">
        <v>3325</v>
      </c>
      <c r="Z235" s="44">
        <v>170042.36061784395</v>
      </c>
    </row>
    <row r="236" spans="1:26" s="45" customFormat="1" x14ac:dyDescent="0.3">
      <c r="A236" s="38" t="s">
        <v>735</v>
      </c>
      <c r="B236" s="39">
        <v>2019</v>
      </c>
      <c r="C236" s="40">
        <v>663800033</v>
      </c>
      <c r="D236" s="46"/>
      <c r="E236" s="46"/>
      <c r="F236" s="46"/>
      <c r="G236" s="46"/>
      <c r="H236" s="46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5">
        <v>759164</v>
      </c>
      <c r="X236" s="44"/>
      <c r="Y236" s="44">
        <v>3325</v>
      </c>
      <c r="Z236" s="47">
        <v>193368</v>
      </c>
    </row>
    <row r="237" spans="1:26" s="45" customFormat="1" x14ac:dyDescent="0.3">
      <c r="A237" s="38" t="s">
        <v>735</v>
      </c>
      <c r="B237" s="39">
        <v>2020</v>
      </c>
      <c r="C237" s="40">
        <v>886940828</v>
      </c>
      <c r="D237" s="46">
        <v>86404</v>
      </c>
      <c r="E237" s="46">
        <v>2605</v>
      </c>
      <c r="F237" s="46">
        <v>12421</v>
      </c>
      <c r="G237" s="46">
        <v>1081</v>
      </c>
      <c r="H237" s="46">
        <v>1645</v>
      </c>
      <c r="I237" s="40">
        <v>2283</v>
      </c>
      <c r="J237" s="40">
        <v>19949</v>
      </c>
      <c r="K237" s="40">
        <v>24061</v>
      </c>
      <c r="L237" s="40">
        <v>1385</v>
      </c>
      <c r="M237" s="40">
        <v>5434</v>
      </c>
      <c r="N237" s="40">
        <v>6786</v>
      </c>
      <c r="O237" s="40">
        <v>12309</v>
      </c>
      <c r="P237" s="40">
        <v>3574</v>
      </c>
      <c r="Q237" s="40">
        <v>2346</v>
      </c>
      <c r="R237" s="40">
        <v>11718</v>
      </c>
      <c r="S237" s="40">
        <v>8433</v>
      </c>
      <c r="T237" s="40">
        <v>5270</v>
      </c>
      <c r="U237" s="40">
        <v>3518</v>
      </c>
      <c r="V237" s="40">
        <v>-1597</v>
      </c>
      <c r="W237" s="45">
        <v>809599</v>
      </c>
      <c r="X237" s="44"/>
      <c r="Y237" s="44">
        <v>3325</v>
      </c>
      <c r="Z237" s="47">
        <v>209626</v>
      </c>
    </row>
    <row r="238" spans="1:26" s="45" customFormat="1" x14ac:dyDescent="0.3">
      <c r="A238" s="38" t="s">
        <v>735</v>
      </c>
      <c r="B238" s="39">
        <v>2021</v>
      </c>
      <c r="C238" s="40">
        <v>984749916</v>
      </c>
      <c r="D238" s="46">
        <v>87052</v>
      </c>
      <c r="E238" s="46">
        <v>3112</v>
      </c>
      <c r="F238" s="46">
        <v>12489</v>
      </c>
      <c r="G238" s="46">
        <v>1141</v>
      </c>
      <c r="H238" s="46">
        <v>1888</v>
      </c>
      <c r="I238" s="40">
        <v>2626</v>
      </c>
      <c r="J238" s="40">
        <v>21927</v>
      </c>
      <c r="K238" s="40">
        <v>28108</v>
      </c>
      <c r="L238" s="40">
        <v>2378</v>
      </c>
      <c r="M238" s="40">
        <v>5676</v>
      </c>
      <c r="N238" s="40">
        <v>7566</v>
      </c>
      <c r="O238" s="40">
        <v>13204</v>
      </c>
      <c r="P238" s="40">
        <v>4016</v>
      </c>
      <c r="Q238" s="40">
        <v>2673</v>
      </c>
      <c r="R238" s="40">
        <v>12207</v>
      </c>
      <c r="S238" s="40">
        <v>10744</v>
      </c>
      <c r="T238" s="40">
        <v>5595</v>
      </c>
      <c r="U238" s="40">
        <v>3944</v>
      </c>
      <c r="V238" s="40">
        <v>-1981</v>
      </c>
      <c r="W238" s="45">
        <v>818202</v>
      </c>
      <c r="X238" s="44"/>
      <c r="Y238" s="44">
        <v>3325</v>
      </c>
      <c r="Z238" s="47">
        <v>224365</v>
      </c>
    </row>
    <row r="239" spans="1:26" s="45" customFormat="1" x14ac:dyDescent="0.3">
      <c r="A239" s="38" t="s">
        <v>735</v>
      </c>
      <c r="B239" s="39">
        <v>2022</v>
      </c>
      <c r="C239" s="40">
        <v>1080266739</v>
      </c>
      <c r="D239" s="46">
        <v>90757</v>
      </c>
      <c r="E239" s="46">
        <v>4034</v>
      </c>
      <c r="F239" s="46">
        <v>13426</v>
      </c>
      <c r="G239" s="46">
        <v>1146</v>
      </c>
      <c r="H239" s="46">
        <v>2163</v>
      </c>
      <c r="I239" s="40">
        <v>2909</v>
      </c>
      <c r="J239" s="40">
        <v>23847</v>
      </c>
      <c r="K239" s="40">
        <v>36105</v>
      </c>
      <c r="L239" s="40">
        <v>2621</v>
      </c>
      <c r="M239" s="40">
        <v>6269</v>
      </c>
      <c r="N239" s="40">
        <v>8757</v>
      </c>
      <c r="O239" s="40">
        <v>14180</v>
      </c>
      <c r="P239" s="40">
        <v>4212</v>
      </c>
      <c r="Q239" s="40">
        <v>3302</v>
      </c>
      <c r="R239" s="40">
        <v>11012</v>
      </c>
      <c r="S239" s="40">
        <v>11052</v>
      </c>
      <c r="T239" s="40">
        <v>5076</v>
      </c>
      <c r="U239" s="40">
        <v>4277</v>
      </c>
      <c r="V239" s="40">
        <v>-2110</v>
      </c>
      <c r="W239" s="45">
        <v>826805</v>
      </c>
      <c r="X239" s="45">
        <v>456293</v>
      </c>
      <c r="Y239" s="44">
        <v>3325</v>
      </c>
      <c r="Z239" s="47">
        <v>243035</v>
      </c>
    </row>
    <row r="240" spans="1:26" s="45" customFormat="1" ht="14.5" x14ac:dyDescent="0.35">
      <c r="A240" s="38" t="s">
        <v>735</v>
      </c>
      <c r="B240" s="39">
        <v>2023</v>
      </c>
      <c r="C240" s="40">
        <v>1175783562</v>
      </c>
      <c r="D240" s="50">
        <v>100383</v>
      </c>
      <c r="E240" s="50">
        <v>3493</v>
      </c>
      <c r="F240" s="50">
        <v>13512</v>
      </c>
      <c r="G240" s="50">
        <v>1400</v>
      </c>
      <c r="H240" s="50">
        <v>2100</v>
      </c>
      <c r="I240" s="50">
        <v>3077</v>
      </c>
      <c r="J240" s="50">
        <v>25855</v>
      </c>
      <c r="K240" s="50">
        <v>40866</v>
      </c>
      <c r="L240" s="50">
        <v>3394</v>
      </c>
      <c r="M240" s="50">
        <v>6631</v>
      </c>
      <c r="N240" s="50">
        <v>10266</v>
      </c>
      <c r="O240" s="50">
        <v>15451</v>
      </c>
      <c r="P240" s="50">
        <v>4617</v>
      </c>
      <c r="Q240" s="50">
        <v>3912</v>
      </c>
      <c r="R240" s="50">
        <v>11972</v>
      </c>
      <c r="S240" s="50">
        <v>11004</v>
      </c>
      <c r="T240" s="50">
        <v>5000</v>
      </c>
      <c r="U240" s="50">
        <v>4647</v>
      </c>
      <c r="V240" s="50">
        <v>-2373</v>
      </c>
      <c r="W240" s="45">
        <v>835408</v>
      </c>
      <c r="X240" s="44"/>
      <c r="Y240" s="44">
        <v>3325</v>
      </c>
      <c r="Z240" s="47"/>
    </row>
    <row r="241" spans="1:26" s="45" customFormat="1" ht="14.5" x14ac:dyDescent="0.35">
      <c r="A241" s="38" t="s">
        <v>736</v>
      </c>
      <c r="B241" s="39">
        <v>2017</v>
      </c>
      <c r="C241" s="40">
        <v>257292957</v>
      </c>
      <c r="D241" s="41">
        <v>3484.7022696218801</v>
      </c>
      <c r="E241" s="41">
        <v>52.722474764646464</v>
      </c>
      <c r="F241" s="41">
        <v>1082.0509293007815</v>
      </c>
      <c r="G241" s="41">
        <v>83.392873215963021</v>
      </c>
      <c r="H241" s="41">
        <v>194.46846697679558</v>
      </c>
      <c r="I241" s="41">
        <v>657.4763841154238</v>
      </c>
      <c r="J241" s="41">
        <v>1890.1497634715572</v>
      </c>
      <c r="K241" s="41">
        <v>1479.894770078761</v>
      </c>
      <c r="L241" s="41">
        <v>1047.9433648924423</v>
      </c>
      <c r="M241" s="41">
        <v>295.05865983250692</v>
      </c>
      <c r="N241" s="41">
        <v>422.24201149977074</v>
      </c>
      <c r="O241" s="41">
        <v>1868.1863560828974</v>
      </c>
      <c r="P241" s="41">
        <v>287.31658833274088</v>
      </c>
      <c r="Q241" s="41">
        <v>418.67383778921698</v>
      </c>
      <c r="R241" s="41">
        <v>5679.4786346800956</v>
      </c>
      <c r="S241" s="41">
        <v>1235.1994553695797</v>
      </c>
      <c r="T241" s="41">
        <v>1106.5520081047744</v>
      </c>
      <c r="U241" s="41">
        <v>526.23078432998147</v>
      </c>
      <c r="V241" s="42">
        <v>-142.20578745776803</v>
      </c>
      <c r="W241" s="43"/>
      <c r="X241" s="44"/>
      <c r="Y241" s="44">
        <v>21065.1</v>
      </c>
      <c r="Z241" s="44">
        <v>21669.533845002043</v>
      </c>
    </row>
    <row r="242" spans="1:26" s="45" customFormat="1" ht="14.5" x14ac:dyDescent="0.35">
      <c r="A242" s="38" t="s">
        <v>736</v>
      </c>
      <c r="B242" s="39">
        <v>2018</v>
      </c>
      <c r="C242" s="40">
        <v>243861101</v>
      </c>
      <c r="D242" s="41">
        <v>4127.5326910057074</v>
      </c>
      <c r="E242" s="41">
        <v>49.397151565626203</v>
      </c>
      <c r="F242" s="41">
        <v>1166.8647250536069</v>
      </c>
      <c r="G242" s="41">
        <v>60.510386986737167</v>
      </c>
      <c r="H242" s="41">
        <v>194.7566589425181</v>
      </c>
      <c r="I242" s="41">
        <v>786.58813793433887</v>
      </c>
      <c r="J242" s="41">
        <v>1981.595476215193</v>
      </c>
      <c r="K242" s="41">
        <v>1510.4436616839776</v>
      </c>
      <c r="L242" s="41">
        <v>1229.4616213646514</v>
      </c>
      <c r="M242" s="41">
        <v>314.09405502215691</v>
      </c>
      <c r="N242" s="41">
        <v>469.49152737563929</v>
      </c>
      <c r="O242" s="41">
        <v>2078.5022184038944</v>
      </c>
      <c r="P242" s="41">
        <v>305.26238691564265</v>
      </c>
      <c r="Q242" s="41">
        <v>489.29592938531243</v>
      </c>
      <c r="R242" s="41">
        <v>6303.1964555105769</v>
      </c>
      <c r="S242" s="41">
        <v>1393.9018686662373</v>
      </c>
      <c r="T242" s="41">
        <v>1257.531286820767</v>
      </c>
      <c r="U242" s="41">
        <v>580.0744368528874</v>
      </c>
      <c r="V242" s="42">
        <v>-121.26497142493412</v>
      </c>
      <c r="W242" s="43"/>
      <c r="X242" s="44"/>
      <c r="Y242" s="44">
        <v>21065.1</v>
      </c>
      <c r="Z242" s="44">
        <v>24177.235704280538</v>
      </c>
    </row>
    <row r="243" spans="1:26" s="45" customFormat="1" x14ac:dyDescent="0.3">
      <c r="A243" s="38" t="s">
        <v>736</v>
      </c>
      <c r="B243" s="39">
        <v>2019</v>
      </c>
      <c r="C243" s="40">
        <v>215508557.34999999</v>
      </c>
      <c r="D243" s="46"/>
      <c r="E243" s="46"/>
      <c r="F243" s="46"/>
      <c r="G243" s="46"/>
      <c r="H243" s="46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5">
        <v>310327</v>
      </c>
      <c r="X243" s="44"/>
      <c r="Y243" s="44">
        <v>21065.1</v>
      </c>
      <c r="Z243" s="47">
        <v>27955</v>
      </c>
    </row>
    <row r="244" spans="1:26" s="45" customFormat="1" x14ac:dyDescent="0.3">
      <c r="A244" s="38" t="s">
        <v>736</v>
      </c>
      <c r="B244" s="39">
        <v>2020</v>
      </c>
      <c r="C244" s="40">
        <v>68285168</v>
      </c>
      <c r="D244" s="46">
        <v>6070</v>
      </c>
      <c r="E244" s="46">
        <v>55</v>
      </c>
      <c r="F244" s="46">
        <v>1295</v>
      </c>
      <c r="G244" s="46">
        <v>68</v>
      </c>
      <c r="H244" s="46">
        <v>177</v>
      </c>
      <c r="I244" s="40">
        <v>1082</v>
      </c>
      <c r="J244" s="40">
        <v>2155</v>
      </c>
      <c r="K244" s="40">
        <v>1763</v>
      </c>
      <c r="L244" s="40">
        <v>957</v>
      </c>
      <c r="M244" s="40">
        <v>368</v>
      </c>
      <c r="N244" s="40">
        <v>340</v>
      </c>
      <c r="O244" s="40">
        <v>2349</v>
      </c>
      <c r="P244" s="40">
        <v>297</v>
      </c>
      <c r="Q244" s="40">
        <v>465</v>
      </c>
      <c r="R244" s="40">
        <v>8106</v>
      </c>
      <c r="S244" s="40">
        <v>1578</v>
      </c>
      <c r="T244" s="40">
        <v>1546</v>
      </c>
      <c r="U244" s="40">
        <v>540</v>
      </c>
      <c r="V244" s="40">
        <v>-121</v>
      </c>
      <c r="W244" s="45">
        <v>320308</v>
      </c>
      <c r="X244" s="44"/>
      <c r="Y244" s="44">
        <v>21065.1</v>
      </c>
      <c r="Z244" s="47">
        <v>29090</v>
      </c>
    </row>
    <row r="245" spans="1:26" s="45" customFormat="1" x14ac:dyDescent="0.3">
      <c r="A245" s="38" t="s">
        <v>736</v>
      </c>
      <c r="B245" s="39">
        <v>2021</v>
      </c>
      <c r="C245" s="40">
        <v>120267707</v>
      </c>
      <c r="D245" s="46">
        <v>4891</v>
      </c>
      <c r="E245" s="46">
        <v>66</v>
      </c>
      <c r="F245" s="46">
        <v>1312</v>
      </c>
      <c r="G245" s="46">
        <v>66</v>
      </c>
      <c r="H245" s="46">
        <v>180</v>
      </c>
      <c r="I245" s="40">
        <v>1225</v>
      </c>
      <c r="J245" s="40">
        <v>2362</v>
      </c>
      <c r="K245" s="40">
        <v>2466</v>
      </c>
      <c r="L245" s="40">
        <v>1643</v>
      </c>
      <c r="M245" s="40">
        <v>385</v>
      </c>
      <c r="N245" s="40">
        <v>406</v>
      </c>
      <c r="O245" s="40">
        <v>2541</v>
      </c>
      <c r="P245" s="40">
        <v>334</v>
      </c>
      <c r="Q245" s="40">
        <v>530</v>
      </c>
      <c r="R245" s="40">
        <v>8468</v>
      </c>
      <c r="S245" s="40">
        <v>1978</v>
      </c>
      <c r="T245" s="40">
        <v>1738</v>
      </c>
      <c r="U245" s="40">
        <v>611</v>
      </c>
      <c r="V245" s="40">
        <v>-144</v>
      </c>
      <c r="W245" s="45">
        <v>329638</v>
      </c>
      <c r="X245" s="44"/>
      <c r="Y245" s="44">
        <v>21065.1</v>
      </c>
      <c r="Z245" s="47">
        <v>31057</v>
      </c>
    </row>
    <row r="246" spans="1:26" s="45" customFormat="1" x14ac:dyDescent="0.3">
      <c r="A246" s="38" t="s">
        <v>736</v>
      </c>
      <c r="B246" s="39">
        <v>2022</v>
      </c>
      <c r="C246" s="40">
        <v>226323886</v>
      </c>
      <c r="D246" s="46">
        <v>5459</v>
      </c>
      <c r="E246" s="46">
        <v>85</v>
      </c>
      <c r="F246" s="46">
        <v>1284</v>
      </c>
      <c r="G246" s="46">
        <v>62</v>
      </c>
      <c r="H246" s="46">
        <v>158</v>
      </c>
      <c r="I246" s="40">
        <v>1375</v>
      </c>
      <c r="J246" s="40">
        <v>2631</v>
      </c>
      <c r="K246" s="40">
        <v>3094</v>
      </c>
      <c r="L246" s="40">
        <v>1811</v>
      </c>
      <c r="M246" s="40">
        <v>425</v>
      </c>
      <c r="N246" s="40">
        <v>478</v>
      </c>
      <c r="O246" s="40">
        <v>2710</v>
      </c>
      <c r="P246" s="40">
        <v>350</v>
      </c>
      <c r="Q246" s="40">
        <v>655</v>
      </c>
      <c r="R246" s="40">
        <v>8861</v>
      </c>
      <c r="S246" s="40">
        <v>2090</v>
      </c>
      <c r="T246" s="40">
        <v>1854</v>
      </c>
      <c r="U246" s="40">
        <v>674</v>
      </c>
      <c r="V246" s="40">
        <v>-156</v>
      </c>
      <c r="W246" s="45">
        <v>338968</v>
      </c>
      <c r="X246" s="45">
        <v>43428</v>
      </c>
      <c r="Y246" s="44">
        <v>21065.1</v>
      </c>
      <c r="Z246" s="47">
        <v>33901</v>
      </c>
    </row>
    <row r="247" spans="1:26" s="45" customFormat="1" ht="14.5" x14ac:dyDescent="0.35">
      <c r="A247" s="38" t="s">
        <v>736</v>
      </c>
      <c r="B247" s="39">
        <v>2023</v>
      </c>
      <c r="C247" s="40">
        <v>332380065</v>
      </c>
      <c r="D247" s="50">
        <v>7712</v>
      </c>
      <c r="E247" s="15">
        <v>74</v>
      </c>
      <c r="F247" s="50">
        <v>1428</v>
      </c>
      <c r="G247" s="15">
        <v>67</v>
      </c>
      <c r="H247" s="15">
        <v>155</v>
      </c>
      <c r="I247" s="50">
        <v>1448</v>
      </c>
      <c r="J247" s="50">
        <v>2900</v>
      </c>
      <c r="K247" s="50">
        <v>3711</v>
      </c>
      <c r="L247" s="50">
        <v>2345</v>
      </c>
      <c r="M247" s="15">
        <v>450</v>
      </c>
      <c r="N247" s="15">
        <v>561</v>
      </c>
      <c r="O247" s="50">
        <v>2989</v>
      </c>
      <c r="P247" s="15">
        <v>384</v>
      </c>
      <c r="Q247" s="15">
        <v>776</v>
      </c>
      <c r="R247" s="50">
        <v>9770</v>
      </c>
      <c r="S247" s="50">
        <v>2155</v>
      </c>
      <c r="T247" s="50">
        <v>1898</v>
      </c>
      <c r="U247" s="15">
        <v>739</v>
      </c>
      <c r="V247" s="15">
        <v>-181</v>
      </c>
      <c r="W247" s="45">
        <v>348298</v>
      </c>
      <c r="X247" s="44"/>
      <c r="Y247" s="44">
        <v>21065.1</v>
      </c>
      <c r="Z247" s="47"/>
    </row>
    <row r="248" spans="1:26" s="45" customFormat="1" ht="14.5" x14ac:dyDescent="0.35">
      <c r="A248" s="38" t="s">
        <v>737</v>
      </c>
      <c r="B248" s="39">
        <v>2017</v>
      </c>
      <c r="C248" s="40">
        <v>139336798</v>
      </c>
      <c r="D248" s="41">
        <v>30770.193765481919</v>
      </c>
      <c r="E248" s="41">
        <v>1264.2485845287983</v>
      </c>
      <c r="F248" s="41">
        <v>2744.803428481554</v>
      </c>
      <c r="G248" s="41">
        <v>295.36138565652539</v>
      </c>
      <c r="H248" s="41">
        <v>612.11067251855025</v>
      </c>
      <c r="I248" s="41">
        <v>4365.4966207365642</v>
      </c>
      <c r="J248" s="41">
        <v>1081.3387130477799</v>
      </c>
      <c r="K248" s="41">
        <v>4637.9809909959877</v>
      </c>
      <c r="L248" s="41">
        <v>329.78755996615178</v>
      </c>
      <c r="M248" s="41">
        <v>2050.0146346368028</v>
      </c>
      <c r="N248" s="41">
        <v>829.4644775133105</v>
      </c>
      <c r="O248" s="41">
        <v>5106.2303598221752</v>
      </c>
      <c r="P248" s="41">
        <v>2445.6736261414217</v>
      </c>
      <c r="Q248" s="41">
        <v>804.37810391192056</v>
      </c>
      <c r="R248" s="41">
        <v>6231.8350393550736</v>
      </c>
      <c r="S248" s="41">
        <v>9044.5071347089906</v>
      </c>
      <c r="T248" s="41">
        <v>2500.4005033248477</v>
      </c>
      <c r="U248" s="41">
        <v>3741.1154801589487</v>
      </c>
      <c r="V248" s="42">
        <v>-355.48801561965485</v>
      </c>
      <c r="W248" s="43"/>
      <c r="X248" s="44"/>
      <c r="Y248" s="44">
        <v>2529.8000000000002</v>
      </c>
      <c r="Z248" s="44">
        <v>78499.453065367663</v>
      </c>
    </row>
    <row r="249" spans="1:26" s="45" customFormat="1" ht="14.5" x14ac:dyDescent="0.35">
      <c r="A249" s="38" t="s">
        <v>737</v>
      </c>
      <c r="B249" s="39">
        <v>2018</v>
      </c>
      <c r="C249" s="40">
        <v>189668022</v>
      </c>
      <c r="D249" s="41">
        <v>31930.285125955514</v>
      </c>
      <c r="E249" s="41">
        <v>1184.5096275426363</v>
      </c>
      <c r="F249" s="41">
        <v>2971.2547505288849</v>
      </c>
      <c r="G249" s="41">
        <v>443.68345805243791</v>
      </c>
      <c r="H249" s="41">
        <v>653.57337395465515</v>
      </c>
      <c r="I249" s="41">
        <v>5217.3521144756596</v>
      </c>
      <c r="J249" s="41">
        <v>1121.6021173055269</v>
      </c>
      <c r="K249" s="41">
        <v>8600.118651438981</v>
      </c>
      <c r="L249" s="41">
        <v>386.91131769653634</v>
      </c>
      <c r="M249" s="41">
        <v>2182.1833811592624</v>
      </c>
      <c r="N249" s="41">
        <v>590.00577576924229</v>
      </c>
      <c r="O249" s="41">
        <v>5672.433951579098</v>
      </c>
      <c r="P249" s="41">
        <v>2598.4304389273948</v>
      </c>
      <c r="Q249" s="41">
        <v>940.06096490062419</v>
      </c>
      <c r="R249" s="41">
        <v>8298.8969900413904</v>
      </c>
      <c r="S249" s="41">
        <v>9814.9095730046974</v>
      </c>
      <c r="T249" s="41">
        <v>2454.4919674749649</v>
      </c>
      <c r="U249" s="41">
        <v>4130.7758097741453</v>
      </c>
      <c r="V249" s="42">
        <v>-341.94350782070683</v>
      </c>
      <c r="W249" s="43"/>
      <c r="X249" s="44"/>
      <c r="Y249" s="44">
        <v>2529.8000000000002</v>
      </c>
      <c r="Z249" s="44">
        <v>88849.535881760952</v>
      </c>
    </row>
    <row r="250" spans="1:26" s="45" customFormat="1" x14ac:dyDescent="0.3">
      <c r="A250" s="38" t="s">
        <v>737</v>
      </c>
      <c r="B250" s="39">
        <v>2019</v>
      </c>
      <c r="C250" s="40">
        <v>184249783</v>
      </c>
      <c r="D250" s="46"/>
      <c r="E250" s="46"/>
      <c r="F250" s="46"/>
      <c r="G250" s="46"/>
      <c r="H250" s="46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5">
        <v>993183</v>
      </c>
      <c r="X250" s="44"/>
      <c r="Y250" s="44">
        <v>2529.8000000000002</v>
      </c>
      <c r="Z250" s="47">
        <v>98071</v>
      </c>
    </row>
    <row r="251" spans="1:26" s="45" customFormat="1" x14ac:dyDescent="0.3">
      <c r="A251" s="38" t="s">
        <v>737</v>
      </c>
      <c r="B251" s="39">
        <v>2020</v>
      </c>
      <c r="C251" s="40">
        <v>336291766</v>
      </c>
      <c r="D251" s="46">
        <v>39245</v>
      </c>
      <c r="E251" s="46">
        <v>1320</v>
      </c>
      <c r="F251" s="46">
        <v>3284</v>
      </c>
      <c r="G251" s="46">
        <v>509</v>
      </c>
      <c r="H251" s="46">
        <v>736</v>
      </c>
      <c r="I251" s="40">
        <v>7176</v>
      </c>
      <c r="J251" s="40">
        <v>1189</v>
      </c>
      <c r="K251" s="40">
        <v>10032</v>
      </c>
      <c r="L251" s="40">
        <v>301</v>
      </c>
      <c r="M251" s="40">
        <v>2560</v>
      </c>
      <c r="N251" s="40">
        <v>721</v>
      </c>
      <c r="O251" s="40">
        <v>6400</v>
      </c>
      <c r="P251" s="40">
        <v>2528</v>
      </c>
      <c r="Q251" s="40">
        <v>894</v>
      </c>
      <c r="R251" s="40">
        <v>9892</v>
      </c>
      <c r="S251" s="40">
        <v>10246</v>
      </c>
      <c r="T251" s="40">
        <v>3274</v>
      </c>
      <c r="U251" s="40">
        <v>3948</v>
      </c>
      <c r="V251" s="40">
        <v>-355</v>
      </c>
      <c r="W251" s="45">
        <v>1002932</v>
      </c>
      <c r="X251" s="44"/>
      <c r="Y251" s="44">
        <v>2529.8000000000002</v>
      </c>
      <c r="Z251" s="47">
        <v>103899</v>
      </c>
    </row>
    <row r="252" spans="1:26" s="45" customFormat="1" x14ac:dyDescent="0.3">
      <c r="A252" s="38" t="s">
        <v>737</v>
      </c>
      <c r="B252" s="39">
        <v>2021</v>
      </c>
      <c r="C252" s="40">
        <v>434376276</v>
      </c>
      <c r="D252" s="46">
        <v>43875</v>
      </c>
      <c r="E252" s="46">
        <v>1577</v>
      </c>
      <c r="F252" s="46">
        <v>3422</v>
      </c>
      <c r="G252" s="46">
        <v>497</v>
      </c>
      <c r="H252" s="46">
        <v>773</v>
      </c>
      <c r="I252" s="40">
        <v>8141</v>
      </c>
      <c r="J252" s="40">
        <v>1301</v>
      </c>
      <c r="K252" s="40">
        <v>13800</v>
      </c>
      <c r="L252" s="40">
        <v>517</v>
      </c>
      <c r="M252" s="40">
        <v>2674</v>
      </c>
      <c r="N252" s="40">
        <v>854</v>
      </c>
      <c r="O252" s="40">
        <v>6839</v>
      </c>
      <c r="P252" s="40">
        <v>2841</v>
      </c>
      <c r="Q252" s="40">
        <v>1019</v>
      </c>
      <c r="R252" s="40">
        <v>10975</v>
      </c>
      <c r="S252" s="40">
        <v>12956</v>
      </c>
      <c r="T252" s="40">
        <v>3817</v>
      </c>
      <c r="U252" s="40">
        <v>4429</v>
      </c>
      <c r="V252" s="40">
        <v>-356</v>
      </c>
      <c r="W252" s="45">
        <v>1021774</v>
      </c>
      <c r="X252" s="44"/>
      <c r="Y252" s="44">
        <v>2529.8000000000002</v>
      </c>
      <c r="Z252" s="47">
        <v>119951</v>
      </c>
    </row>
    <row r="253" spans="1:26" s="45" customFormat="1" x14ac:dyDescent="0.3">
      <c r="A253" s="38" t="s">
        <v>737</v>
      </c>
      <c r="B253" s="39">
        <v>2022</v>
      </c>
      <c r="C253" s="40">
        <v>509160335</v>
      </c>
      <c r="D253" s="46">
        <v>54262</v>
      </c>
      <c r="E253" s="46">
        <v>2044</v>
      </c>
      <c r="F253" s="46">
        <v>3566</v>
      </c>
      <c r="G253" s="46">
        <v>461</v>
      </c>
      <c r="H253" s="46">
        <v>769</v>
      </c>
      <c r="I253" s="40">
        <v>9126</v>
      </c>
      <c r="J253" s="40">
        <v>1466</v>
      </c>
      <c r="K253" s="40">
        <v>17211</v>
      </c>
      <c r="L253" s="40">
        <v>570</v>
      </c>
      <c r="M253" s="40">
        <v>2954</v>
      </c>
      <c r="N253" s="40">
        <v>1004</v>
      </c>
      <c r="O253" s="40">
        <v>7368</v>
      </c>
      <c r="P253" s="40">
        <v>2980</v>
      </c>
      <c r="Q253" s="40">
        <v>1258</v>
      </c>
      <c r="R253" s="40">
        <v>10411</v>
      </c>
      <c r="S253" s="40">
        <v>13511</v>
      </c>
      <c r="T253" s="40">
        <v>3420</v>
      </c>
      <c r="U253" s="40">
        <v>4812</v>
      </c>
      <c r="V253" s="40">
        <v>-383</v>
      </c>
      <c r="W253" s="45">
        <v>1040616</v>
      </c>
      <c r="X253" s="45">
        <v>412228</v>
      </c>
      <c r="Y253" s="44">
        <v>2529.8000000000002</v>
      </c>
      <c r="Z253" s="47">
        <v>136809</v>
      </c>
    </row>
    <row r="254" spans="1:26" s="45" customFormat="1" ht="14.5" x14ac:dyDescent="0.35">
      <c r="A254" s="38" t="s">
        <v>737</v>
      </c>
      <c r="B254" s="39">
        <v>2023</v>
      </c>
      <c r="C254" s="40">
        <v>583944394</v>
      </c>
      <c r="D254" s="50">
        <v>53501</v>
      </c>
      <c r="E254" s="50">
        <v>1770</v>
      </c>
      <c r="F254" s="50">
        <v>3909</v>
      </c>
      <c r="G254" s="15">
        <v>325</v>
      </c>
      <c r="H254" s="15">
        <v>730</v>
      </c>
      <c r="I254" s="50">
        <v>9612</v>
      </c>
      <c r="J254" s="50">
        <v>1627</v>
      </c>
      <c r="K254" s="50">
        <v>20512</v>
      </c>
      <c r="L254" s="15">
        <v>738</v>
      </c>
      <c r="M254" s="50">
        <v>3125</v>
      </c>
      <c r="N254" s="50">
        <v>1171</v>
      </c>
      <c r="O254" s="50">
        <v>7984</v>
      </c>
      <c r="P254" s="50">
        <v>3266</v>
      </c>
      <c r="Q254" s="50">
        <v>1491</v>
      </c>
      <c r="R254" s="50">
        <v>11769</v>
      </c>
      <c r="S254" s="50">
        <v>14587</v>
      </c>
      <c r="T254" s="50">
        <v>3465</v>
      </c>
      <c r="U254" s="50">
        <v>5234</v>
      </c>
      <c r="V254" s="15">
        <v>-528</v>
      </c>
      <c r="W254" s="45">
        <v>1059458</v>
      </c>
      <c r="X254" s="44"/>
      <c r="Y254" s="44">
        <v>2529.8000000000002</v>
      </c>
      <c r="Z254" s="47"/>
    </row>
    <row r="255" spans="1:26" s="45" customFormat="1" ht="14.5" x14ac:dyDescent="0.35">
      <c r="A255" s="38" t="s">
        <v>738</v>
      </c>
      <c r="B255" s="39">
        <v>2017</v>
      </c>
      <c r="C255" s="40">
        <v>193595795</v>
      </c>
      <c r="D255" s="41">
        <v>11252.963688939248</v>
      </c>
      <c r="E255" s="41">
        <v>809.380888455883</v>
      </c>
      <c r="F255" s="41">
        <v>2229.5531215119272</v>
      </c>
      <c r="G255" s="41">
        <v>218.19211344795707</v>
      </c>
      <c r="H255" s="41">
        <v>487.19393075671957</v>
      </c>
      <c r="I255" s="41">
        <v>2064.3421392734699</v>
      </c>
      <c r="J255" s="41">
        <v>9427.9836582156822</v>
      </c>
      <c r="K255" s="41">
        <v>4005.9026644960231</v>
      </c>
      <c r="L255" s="41">
        <v>837.48682991404326</v>
      </c>
      <c r="M255" s="41">
        <v>1154.9495424727888</v>
      </c>
      <c r="N255" s="41">
        <v>1010.3056745736244</v>
      </c>
      <c r="O255" s="41">
        <v>3789.2078865500175</v>
      </c>
      <c r="P255" s="41">
        <v>1056.1061262048931</v>
      </c>
      <c r="Q255" s="41">
        <v>697.12769005699784</v>
      </c>
      <c r="R255" s="41">
        <v>5853.5271734848084</v>
      </c>
      <c r="S255" s="41">
        <v>2686.6419221436176</v>
      </c>
      <c r="T255" s="41">
        <v>884.23355347554184</v>
      </c>
      <c r="U255" s="41">
        <v>1527.2474061902089</v>
      </c>
      <c r="V255" s="42">
        <v>-403.70151391846798</v>
      </c>
      <c r="W255" s="43"/>
      <c r="X255" s="44"/>
      <c r="Y255" s="44">
        <v>17152</v>
      </c>
      <c r="Z255" s="44">
        <v>49588.644496244975</v>
      </c>
    </row>
    <row r="256" spans="1:26" s="45" customFormat="1" ht="14.5" x14ac:dyDescent="0.35">
      <c r="A256" s="38" t="s">
        <v>738</v>
      </c>
      <c r="B256" s="39">
        <v>2018</v>
      </c>
      <c r="C256" s="40">
        <v>332712552</v>
      </c>
      <c r="D256" s="41">
        <v>12201.663940569673</v>
      </c>
      <c r="E256" s="41">
        <v>758.33144403506151</v>
      </c>
      <c r="F256" s="41">
        <v>2392.7305313022453</v>
      </c>
      <c r="G256" s="41">
        <v>213.81539960441094</v>
      </c>
      <c r="H256" s="41">
        <v>571.04764462161097</v>
      </c>
      <c r="I256" s="41">
        <v>2465.2707533879925</v>
      </c>
      <c r="J256" s="41">
        <v>10350.334931444017</v>
      </c>
      <c r="K256" s="41">
        <v>4993.6705998289963</v>
      </c>
      <c r="L256" s="41">
        <v>982.55110941357248</v>
      </c>
      <c r="M256" s="41">
        <v>1230.001911796031</v>
      </c>
      <c r="N256" s="41">
        <v>864.83961671914062</v>
      </c>
      <c r="O256" s="41">
        <v>4210.7691820304653</v>
      </c>
      <c r="P256" s="41">
        <v>1122.0705312990135</v>
      </c>
      <c r="Q256" s="41">
        <v>814.71950291387429</v>
      </c>
      <c r="R256" s="41">
        <v>6902.641805450583</v>
      </c>
      <c r="S256" s="41">
        <v>2709.657178732733</v>
      </c>
      <c r="T256" s="41">
        <v>557.03540986914254</v>
      </c>
      <c r="U256" s="41">
        <v>1686.7108010051043</v>
      </c>
      <c r="V256" s="42">
        <v>-387.84550894736208</v>
      </c>
      <c r="W256" s="43"/>
      <c r="X256" s="44"/>
      <c r="Y256" s="44">
        <v>17152</v>
      </c>
      <c r="Z256" s="44">
        <v>54640.016785076303</v>
      </c>
    </row>
    <row r="257" spans="1:765" s="45" customFormat="1" ht="14.5" x14ac:dyDescent="0.35">
      <c r="A257" s="38" t="s">
        <v>738</v>
      </c>
      <c r="B257" s="39">
        <v>2019</v>
      </c>
      <c r="C257" s="40">
        <v>296039121</v>
      </c>
      <c r="D257" s="46"/>
      <c r="E257" s="46"/>
      <c r="F257" s="46"/>
      <c r="G257" s="46"/>
      <c r="H257" s="46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5">
        <v>340671</v>
      </c>
      <c r="X257" s="44"/>
      <c r="Y257" s="44">
        <v>17152</v>
      </c>
      <c r="Z257" s="47">
        <v>60820</v>
      </c>
      <c r="AAN257" s="73">
        <v>555033</v>
      </c>
      <c r="AAO257" s="73">
        <v>512880</v>
      </c>
      <c r="AAP257" s="73">
        <v>14000</v>
      </c>
      <c r="AAQ257" s="73">
        <v>1369826.2</v>
      </c>
      <c r="AAR257" s="73">
        <v>230900</v>
      </c>
      <c r="AAS257" s="73">
        <v>1709040</v>
      </c>
      <c r="AAT257" s="73">
        <v>3139140</v>
      </c>
      <c r="AAU257" s="73">
        <v>6967420</v>
      </c>
      <c r="AAV257" s="73">
        <v>1437200</v>
      </c>
      <c r="AAW257" s="73">
        <v>100000</v>
      </c>
      <c r="AAX257" s="73">
        <v>13201460</v>
      </c>
      <c r="AAY257" s="73">
        <v>3841950</v>
      </c>
      <c r="AAZ257" s="73">
        <v>2132450</v>
      </c>
      <c r="ABA257" s="73">
        <v>9753180</v>
      </c>
      <c r="ABB257" s="73">
        <v>0</v>
      </c>
      <c r="ABC257" s="73">
        <v>3824020</v>
      </c>
      <c r="ABD257" s="73">
        <v>0</v>
      </c>
      <c r="ABE257" s="73">
        <v>13149732</v>
      </c>
      <c r="ABF257" s="73">
        <v>11592331.800000001</v>
      </c>
      <c r="ABG257" s="73">
        <v>31914313</v>
      </c>
      <c r="ABH257" s="73">
        <v>12357853</v>
      </c>
      <c r="ABI257" s="73">
        <v>45800</v>
      </c>
      <c r="ABJ257" s="73">
        <v>9975156</v>
      </c>
      <c r="ABK257" s="73">
        <v>10429146</v>
      </c>
      <c r="ABL257" s="73">
        <v>110000</v>
      </c>
      <c r="ABM257" s="73">
        <v>207500</v>
      </c>
      <c r="ABN257" s="73">
        <v>13600</v>
      </c>
      <c r="ABO257" s="73">
        <v>26000</v>
      </c>
      <c r="ABP257" s="73">
        <v>292500</v>
      </c>
      <c r="ABQ257" s="73">
        <v>25291349</v>
      </c>
      <c r="ABR257" s="73">
        <v>3460290</v>
      </c>
      <c r="ABS257" s="73">
        <v>188600</v>
      </c>
      <c r="ABT257" s="73">
        <v>4743935</v>
      </c>
      <c r="ABU257" s="73">
        <v>211500</v>
      </c>
      <c r="ABV257" s="73">
        <v>1329960</v>
      </c>
      <c r="ABW257" s="73">
        <v>25000</v>
      </c>
      <c r="ABX257" s="73">
        <v>1968000</v>
      </c>
      <c r="ABY257" s="73">
        <v>20843059</v>
      </c>
      <c r="ABZ257" s="73">
        <v>0</v>
      </c>
      <c r="ACA257" s="73">
        <v>48000</v>
      </c>
      <c r="ACB257" s="73">
        <v>175000</v>
      </c>
      <c r="ACC257" s="73">
        <v>6928108</v>
      </c>
      <c r="ACD257" s="73">
        <v>103060</v>
      </c>
      <c r="ACE257" s="73">
        <v>2886937</v>
      </c>
      <c r="ACF257" s="73">
        <v>421678</v>
      </c>
      <c r="ACG257" s="73">
        <v>27272011</v>
      </c>
      <c r="ACH257" s="73">
        <v>28106857</v>
      </c>
      <c r="ACI257" s="73">
        <v>2000500</v>
      </c>
      <c r="ACJ257" s="73">
        <v>47950</v>
      </c>
      <c r="ACK257" s="73">
        <v>30000</v>
      </c>
    </row>
    <row r="258" spans="1:765" s="45" customFormat="1" x14ac:dyDescent="0.3">
      <c r="A258" s="38" t="s">
        <v>738</v>
      </c>
      <c r="B258" s="39">
        <v>2020</v>
      </c>
      <c r="C258" s="40">
        <v>302005400</v>
      </c>
      <c r="D258" s="46">
        <v>15875</v>
      </c>
      <c r="E258" s="46">
        <v>845</v>
      </c>
      <c r="F258" s="46">
        <v>2629</v>
      </c>
      <c r="G258" s="46">
        <v>249</v>
      </c>
      <c r="H258" s="46">
        <v>564</v>
      </c>
      <c r="I258" s="40">
        <v>3391</v>
      </c>
      <c r="J258" s="40">
        <v>12440</v>
      </c>
      <c r="K258" s="40">
        <v>5730</v>
      </c>
      <c r="L258" s="40">
        <v>765</v>
      </c>
      <c r="M258" s="40">
        <v>1441</v>
      </c>
      <c r="N258" s="40">
        <v>915</v>
      </c>
      <c r="O258" s="40">
        <v>4752</v>
      </c>
      <c r="P258" s="40">
        <v>1092</v>
      </c>
      <c r="Q258" s="40">
        <v>775</v>
      </c>
      <c r="R258" s="40">
        <v>7500</v>
      </c>
      <c r="S258" s="40">
        <v>2695</v>
      </c>
      <c r="T258" s="40">
        <v>707</v>
      </c>
      <c r="U258" s="40">
        <v>1618</v>
      </c>
      <c r="V258" s="40">
        <v>-391</v>
      </c>
      <c r="W258" s="45">
        <v>350614</v>
      </c>
      <c r="X258" s="44"/>
      <c r="Y258" s="44">
        <v>17152</v>
      </c>
      <c r="Z258" s="47">
        <v>63592</v>
      </c>
    </row>
    <row r="259" spans="1:765" s="45" customFormat="1" x14ac:dyDescent="0.3">
      <c r="A259" s="38" t="s">
        <v>738</v>
      </c>
      <c r="B259" s="39">
        <v>2021</v>
      </c>
      <c r="C259" s="40">
        <v>325076174</v>
      </c>
      <c r="D259" s="46">
        <v>17277</v>
      </c>
      <c r="E259" s="46">
        <v>1010</v>
      </c>
      <c r="F259" s="46">
        <v>2713</v>
      </c>
      <c r="G259" s="46">
        <v>243</v>
      </c>
      <c r="H259" s="46">
        <v>681</v>
      </c>
      <c r="I259" s="40">
        <v>3851</v>
      </c>
      <c r="J259" s="40">
        <v>13702</v>
      </c>
      <c r="K259" s="40">
        <v>7423</v>
      </c>
      <c r="L259" s="40">
        <v>1313</v>
      </c>
      <c r="M259" s="40">
        <v>1507</v>
      </c>
      <c r="N259" s="40">
        <v>1071</v>
      </c>
      <c r="O259" s="40">
        <v>5092</v>
      </c>
      <c r="P259" s="40">
        <v>1227</v>
      </c>
      <c r="Q259" s="40">
        <v>883</v>
      </c>
      <c r="R259" s="40">
        <v>9429</v>
      </c>
      <c r="S259" s="40">
        <v>3413</v>
      </c>
      <c r="T259" s="40">
        <v>779</v>
      </c>
      <c r="U259" s="40">
        <v>1813</v>
      </c>
      <c r="V259" s="40">
        <v>-432</v>
      </c>
      <c r="W259" s="45">
        <v>355073</v>
      </c>
      <c r="X259" s="44"/>
      <c r="Y259" s="44">
        <v>17152</v>
      </c>
      <c r="Z259" s="47">
        <v>72997</v>
      </c>
    </row>
    <row r="260" spans="1:765" s="45" customFormat="1" x14ac:dyDescent="0.3">
      <c r="A260" s="38" t="s">
        <v>738</v>
      </c>
      <c r="B260" s="39">
        <v>2022</v>
      </c>
      <c r="C260" s="40">
        <v>426497788</v>
      </c>
      <c r="D260" s="46">
        <v>17683</v>
      </c>
      <c r="E260" s="46">
        <v>1308</v>
      </c>
      <c r="F260" s="46">
        <v>2746</v>
      </c>
      <c r="G260" s="46">
        <v>226</v>
      </c>
      <c r="H260" s="46">
        <v>659</v>
      </c>
      <c r="I260" s="40">
        <v>4314</v>
      </c>
      <c r="J260" s="40">
        <v>14653</v>
      </c>
      <c r="K260" s="40">
        <v>1257</v>
      </c>
      <c r="L260" s="40">
        <v>1447</v>
      </c>
      <c r="M260" s="40">
        <v>1663</v>
      </c>
      <c r="N260" s="40">
        <v>1263</v>
      </c>
      <c r="O260" s="40">
        <v>5474</v>
      </c>
      <c r="P260" s="40">
        <v>1287</v>
      </c>
      <c r="Q260" s="40">
        <v>1091</v>
      </c>
      <c r="R260" s="40">
        <v>9407</v>
      </c>
      <c r="S260" s="40">
        <v>3537</v>
      </c>
      <c r="T260" s="40">
        <v>876</v>
      </c>
      <c r="U260" s="40">
        <v>1966</v>
      </c>
      <c r="V260" s="40">
        <v>-465</v>
      </c>
      <c r="W260" s="45">
        <v>359531</v>
      </c>
      <c r="X260" s="45">
        <v>154241</v>
      </c>
      <c r="Y260" s="44">
        <v>17152</v>
      </c>
      <c r="Z260" s="47">
        <v>70392</v>
      </c>
    </row>
    <row r="261" spans="1:765" s="45" customFormat="1" ht="14.5" x14ac:dyDescent="0.35">
      <c r="A261" s="38" t="s">
        <v>738</v>
      </c>
      <c r="B261" s="39">
        <v>2023</v>
      </c>
      <c r="C261" s="40">
        <v>527919402</v>
      </c>
      <c r="D261" s="45">
        <v>21801</v>
      </c>
      <c r="E261" s="45">
        <v>1133</v>
      </c>
      <c r="F261" s="45">
        <v>2950</v>
      </c>
      <c r="G261" s="45">
        <v>557</v>
      </c>
      <c r="H261" s="45">
        <v>673</v>
      </c>
      <c r="I261" s="45">
        <v>4545</v>
      </c>
      <c r="J261" s="45">
        <v>15701</v>
      </c>
      <c r="K261" s="45">
        <v>11058</v>
      </c>
      <c r="L261" s="45">
        <v>1874</v>
      </c>
      <c r="M261" s="45">
        <v>1759</v>
      </c>
      <c r="N261" s="50">
        <v>1492</v>
      </c>
      <c r="O261" s="50">
        <v>5955</v>
      </c>
      <c r="P261" s="50">
        <v>1410</v>
      </c>
      <c r="Q261" s="50">
        <v>1292</v>
      </c>
      <c r="R261" s="50">
        <v>10435</v>
      </c>
      <c r="S261" s="50">
        <v>3793</v>
      </c>
      <c r="T261" s="15">
        <v>946</v>
      </c>
      <c r="U261" s="50">
        <v>2135</v>
      </c>
      <c r="V261" s="15">
        <v>-574</v>
      </c>
      <c r="W261" s="45">
        <v>363990</v>
      </c>
      <c r="X261" s="44"/>
      <c r="Y261" s="44">
        <v>17152</v>
      </c>
      <c r="Z261" s="47"/>
    </row>
    <row r="262" spans="1:765" s="45" customFormat="1" ht="14.5" x14ac:dyDescent="0.35">
      <c r="A262" s="38" t="s">
        <v>739</v>
      </c>
      <c r="B262" s="39">
        <v>2017</v>
      </c>
      <c r="C262" s="40">
        <v>56625198</v>
      </c>
      <c r="D262" s="41">
        <v>7417.5638821678704</v>
      </c>
      <c r="E262" s="41">
        <v>63.266969717575755</v>
      </c>
      <c r="F262" s="41">
        <v>568.19996390224583</v>
      </c>
      <c r="G262" s="41">
        <v>86.483862902048145</v>
      </c>
      <c r="H262" s="41">
        <v>150.38155378519716</v>
      </c>
      <c r="I262" s="41">
        <v>118.30055602943784</v>
      </c>
      <c r="J262" s="41">
        <v>1190.5930250110248</v>
      </c>
      <c r="K262" s="41">
        <v>1286.8071320226281</v>
      </c>
      <c r="L262" s="41">
        <v>28.205514997105084</v>
      </c>
      <c r="M262" s="41">
        <v>677.01639295311611</v>
      </c>
      <c r="N262" s="41">
        <v>465.47679185140515</v>
      </c>
      <c r="O262" s="41">
        <v>1562.569707273143</v>
      </c>
      <c r="P262" s="41">
        <v>310.82430919632884</v>
      </c>
      <c r="Q262" s="41">
        <v>263.3593495770881</v>
      </c>
      <c r="R262" s="41">
        <v>4221.8081010945916</v>
      </c>
      <c r="S262" s="41">
        <v>1214.3691416451152</v>
      </c>
      <c r="T262" s="41">
        <v>897.9378504398926</v>
      </c>
      <c r="U262" s="41">
        <v>608.29732370931993</v>
      </c>
      <c r="V262" s="42">
        <v>-123.37970269147425</v>
      </c>
      <c r="W262" s="43"/>
      <c r="X262" s="44"/>
      <c r="Y262" s="44">
        <v>37950.5</v>
      </c>
      <c r="Z262" s="44">
        <v>21008.081725583663</v>
      </c>
    </row>
    <row r="263" spans="1:765" s="45" customFormat="1" ht="14.5" x14ac:dyDescent="0.35">
      <c r="A263" s="38" t="s">
        <v>739</v>
      </c>
      <c r="B263" s="39">
        <v>2018</v>
      </c>
      <c r="C263" s="40">
        <v>62648714</v>
      </c>
      <c r="D263" s="41">
        <v>6885.0413204013184</v>
      </c>
      <c r="E263" s="41">
        <v>59.276581878751429</v>
      </c>
      <c r="F263" s="41">
        <v>598.46332972817913</v>
      </c>
      <c r="G263" s="41">
        <v>70.910597577323855</v>
      </c>
      <c r="H263" s="41">
        <v>153.25139229910536</v>
      </c>
      <c r="I263" s="41">
        <v>137.75516448957777</v>
      </c>
      <c r="J263" s="41">
        <v>1234.9244871947913</v>
      </c>
      <c r="K263" s="41">
        <v>2175.0636600955681</v>
      </c>
      <c r="L263" s="41">
        <v>33.091099539835341</v>
      </c>
      <c r="M263" s="41">
        <v>720.66506087963739</v>
      </c>
      <c r="N263" s="41">
        <v>274.43412620509594</v>
      </c>
      <c r="O263" s="41">
        <v>1735.9937790708034</v>
      </c>
      <c r="P263" s="41">
        <v>330.23840039055881</v>
      </c>
      <c r="Q263" s="41">
        <v>307.78292332301913</v>
      </c>
      <c r="R263" s="41">
        <v>5873.1013838124318</v>
      </c>
      <c r="S263" s="41">
        <v>1369.6977301261379</v>
      </c>
      <c r="T263" s="41">
        <v>1032.1713697642074</v>
      </c>
      <c r="U263" s="41">
        <v>670.77438954508079</v>
      </c>
      <c r="V263" s="42">
        <v>-128.43368976406958</v>
      </c>
      <c r="W263" s="43"/>
      <c r="X263" s="44"/>
      <c r="Y263" s="44">
        <v>37950.5</v>
      </c>
      <c r="Z263" s="44">
        <v>23534.203106557354</v>
      </c>
    </row>
    <row r="264" spans="1:765" s="45" customFormat="1" ht="14.5" x14ac:dyDescent="0.35">
      <c r="A264" s="38" t="s">
        <v>739</v>
      </c>
      <c r="B264" s="39">
        <v>2019</v>
      </c>
      <c r="C264" s="40">
        <v>66580034</v>
      </c>
      <c r="D264" s="46"/>
      <c r="E264" s="46"/>
      <c r="F264" s="46"/>
      <c r="G264" s="46"/>
      <c r="H264" s="46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5">
        <v>315943</v>
      </c>
      <c r="X264" s="44"/>
      <c r="Y264" s="44">
        <v>37950.5</v>
      </c>
      <c r="Z264" s="47">
        <v>27172</v>
      </c>
      <c r="ID264" s="48">
        <v>1529359.1</v>
      </c>
      <c r="IE264" s="48">
        <v>246300</v>
      </c>
      <c r="IF264" s="48">
        <v>104500</v>
      </c>
      <c r="IG264" s="48">
        <v>1439966</v>
      </c>
      <c r="IH264" s="48">
        <v>720900</v>
      </c>
      <c r="II264" s="48">
        <v>420909</v>
      </c>
      <c r="IJ264" s="48">
        <v>8295554.25</v>
      </c>
      <c r="IK264" s="48">
        <v>3450</v>
      </c>
      <c r="IL264" s="48">
        <v>581770</v>
      </c>
      <c r="IM264" s="48">
        <v>0</v>
      </c>
      <c r="IN264" s="48">
        <v>0</v>
      </c>
      <c r="IO264" s="48">
        <v>0</v>
      </c>
      <c r="IP264" s="48">
        <v>0</v>
      </c>
      <c r="IQ264" s="48">
        <v>0</v>
      </c>
      <c r="IR264" s="48">
        <v>0</v>
      </c>
      <c r="IS264" s="48">
        <v>0</v>
      </c>
      <c r="IT264" s="48">
        <v>167660</v>
      </c>
      <c r="IU264" s="48">
        <v>0</v>
      </c>
      <c r="IV264" s="48">
        <v>174350</v>
      </c>
      <c r="IW264" s="48">
        <v>67999</v>
      </c>
    </row>
    <row r="265" spans="1:765" s="45" customFormat="1" ht="14.5" x14ac:dyDescent="0.35">
      <c r="A265" s="38" t="s">
        <v>739</v>
      </c>
      <c r="B265" s="39">
        <v>2020</v>
      </c>
      <c r="C265" s="40">
        <v>83075805</v>
      </c>
      <c r="D265" s="46">
        <v>10031</v>
      </c>
      <c r="E265" s="46">
        <v>66</v>
      </c>
      <c r="F265" s="46">
        <v>678</v>
      </c>
      <c r="G265" s="46">
        <v>81</v>
      </c>
      <c r="H265" s="46">
        <v>151</v>
      </c>
      <c r="I265" s="40">
        <v>191</v>
      </c>
      <c r="J265" s="40">
        <v>1309</v>
      </c>
      <c r="K265" s="40">
        <v>2536</v>
      </c>
      <c r="L265" s="40">
        <v>26</v>
      </c>
      <c r="M265" s="40">
        <v>846</v>
      </c>
      <c r="N265" s="40">
        <v>260</v>
      </c>
      <c r="O265" s="40">
        <v>1959</v>
      </c>
      <c r="P265" s="40">
        <v>321</v>
      </c>
      <c r="Q265" s="40">
        <v>293</v>
      </c>
      <c r="R265" s="40">
        <v>7120</v>
      </c>
      <c r="S265" s="40">
        <v>1541</v>
      </c>
      <c r="T265" s="40">
        <v>1554</v>
      </c>
      <c r="U265" s="40">
        <v>628</v>
      </c>
      <c r="V265" s="40">
        <v>-131</v>
      </c>
      <c r="W265" s="45">
        <v>325873</v>
      </c>
      <c r="X265" s="44"/>
      <c r="Y265" s="44">
        <v>37950.5</v>
      </c>
      <c r="Z265" s="47">
        <v>29460</v>
      </c>
      <c r="ID265" s="48">
        <v>3684864</v>
      </c>
      <c r="IE265" s="48">
        <v>7763133</v>
      </c>
      <c r="IF265" s="48">
        <v>10606409.85</v>
      </c>
      <c r="IG265" s="48">
        <v>48737235.119999997</v>
      </c>
      <c r="IH265" s="48">
        <v>1878662</v>
      </c>
      <c r="II265" s="48">
        <v>2000</v>
      </c>
      <c r="IJ265" s="48">
        <v>13761179.210000001</v>
      </c>
      <c r="IK265" s="48">
        <v>611490</v>
      </c>
      <c r="IL265" s="48">
        <v>2410952</v>
      </c>
      <c r="IM265" s="48">
        <v>0</v>
      </c>
      <c r="IN265" s="48">
        <v>25500</v>
      </c>
      <c r="IO265" s="48">
        <v>500</v>
      </c>
      <c r="IP265" s="48">
        <v>0</v>
      </c>
      <c r="IQ265" s="48">
        <v>0</v>
      </c>
      <c r="IR265" s="48">
        <v>0</v>
      </c>
      <c r="IS265" s="48">
        <v>0</v>
      </c>
      <c r="IT265" s="48">
        <v>181005</v>
      </c>
      <c r="IU265" s="48">
        <v>0</v>
      </c>
      <c r="IV265" s="48">
        <v>0</v>
      </c>
      <c r="IW265" s="48">
        <v>12000</v>
      </c>
    </row>
    <row r="266" spans="1:765" s="45" customFormat="1" ht="14.5" x14ac:dyDescent="0.35">
      <c r="A266" s="38" t="s">
        <v>739</v>
      </c>
      <c r="B266" s="39">
        <v>2021</v>
      </c>
      <c r="C266" s="40">
        <v>72260813</v>
      </c>
      <c r="D266" s="46">
        <v>10531</v>
      </c>
      <c r="E266" s="46">
        <v>79</v>
      </c>
      <c r="F266" s="46">
        <v>755</v>
      </c>
      <c r="G266" s="46">
        <v>79</v>
      </c>
      <c r="H266" s="46">
        <v>213</v>
      </c>
      <c r="I266" s="40">
        <v>224</v>
      </c>
      <c r="J266" s="40">
        <v>1433</v>
      </c>
      <c r="K266" s="40">
        <v>3423</v>
      </c>
      <c r="L266" s="40">
        <v>44</v>
      </c>
      <c r="M266" s="40">
        <v>883</v>
      </c>
      <c r="N266" s="40">
        <v>306</v>
      </c>
      <c r="O266" s="40">
        <v>2095</v>
      </c>
      <c r="P266" s="40">
        <v>361</v>
      </c>
      <c r="Q266" s="40">
        <v>334</v>
      </c>
      <c r="R266" s="40">
        <v>11003</v>
      </c>
      <c r="S266" s="40">
        <v>1922</v>
      </c>
      <c r="T266" s="40">
        <v>1398</v>
      </c>
      <c r="U266" s="40">
        <v>709</v>
      </c>
      <c r="V266" s="40">
        <v>-128</v>
      </c>
      <c r="W266" s="45">
        <v>334765</v>
      </c>
      <c r="X266" s="44"/>
      <c r="Y266" s="44">
        <v>37950.5</v>
      </c>
      <c r="Z266" s="47">
        <v>35662</v>
      </c>
      <c r="ID266" s="48">
        <v>3278914</v>
      </c>
      <c r="IE266" s="48">
        <v>5027824.45</v>
      </c>
      <c r="IF266" s="48">
        <v>13115227.25</v>
      </c>
      <c r="IG266" s="48">
        <v>26117552.129999999</v>
      </c>
      <c r="IH266" s="48">
        <v>933655</v>
      </c>
      <c r="II266" s="48">
        <v>762894.45</v>
      </c>
      <c r="IJ266" s="48">
        <v>13507480</v>
      </c>
      <c r="IK266" s="48">
        <v>1646329</v>
      </c>
      <c r="IL266" s="48">
        <v>4003105</v>
      </c>
      <c r="IM266" s="48">
        <v>0</v>
      </c>
      <c r="IN266" s="48">
        <v>487170</v>
      </c>
      <c r="IO266" s="48">
        <v>557450</v>
      </c>
      <c r="IP266" s="48">
        <v>0</v>
      </c>
      <c r="IQ266" s="48">
        <v>400</v>
      </c>
      <c r="IR266" s="48">
        <v>0</v>
      </c>
      <c r="IS266" s="48">
        <v>0</v>
      </c>
      <c r="IT266" s="48">
        <v>523722</v>
      </c>
      <c r="IU266" s="48">
        <v>0</v>
      </c>
      <c r="IV266" s="48">
        <v>0</v>
      </c>
      <c r="IW266" s="48">
        <v>0</v>
      </c>
    </row>
    <row r="267" spans="1:765" s="45" customFormat="1" ht="14.5" x14ac:dyDescent="0.35">
      <c r="A267" s="38" t="s">
        <v>739</v>
      </c>
      <c r="B267" s="39">
        <v>2022</v>
      </c>
      <c r="C267" s="40">
        <v>65265529</v>
      </c>
      <c r="D267" s="46">
        <v>11855</v>
      </c>
      <c r="E267" s="46">
        <v>102</v>
      </c>
      <c r="F267" s="46">
        <v>817</v>
      </c>
      <c r="G267" s="46">
        <v>74</v>
      </c>
      <c r="H267" s="46">
        <v>203</v>
      </c>
      <c r="I267" s="40">
        <v>244</v>
      </c>
      <c r="J267" s="40">
        <v>1614</v>
      </c>
      <c r="K267" s="40">
        <v>4332</v>
      </c>
      <c r="L267" s="40">
        <v>49</v>
      </c>
      <c r="M267" s="40">
        <v>976</v>
      </c>
      <c r="N267" s="40">
        <v>358</v>
      </c>
      <c r="O267" s="40">
        <v>2255</v>
      </c>
      <c r="P267" s="40">
        <v>379</v>
      </c>
      <c r="Q267" s="40">
        <v>412</v>
      </c>
      <c r="R267" s="40">
        <v>7609</v>
      </c>
      <c r="S267" s="40">
        <v>2027</v>
      </c>
      <c r="T267" s="40">
        <v>1214</v>
      </c>
      <c r="U267" s="40">
        <v>780</v>
      </c>
      <c r="V267" s="40">
        <v>-138</v>
      </c>
      <c r="W267" s="45">
        <v>343657</v>
      </c>
      <c r="X267" s="44">
        <v>72518</v>
      </c>
      <c r="Y267" s="44">
        <v>37950.5</v>
      </c>
      <c r="Z267" s="47">
        <v>35159</v>
      </c>
      <c r="ID267" s="48">
        <v>3058708</v>
      </c>
      <c r="IE267" s="48">
        <v>2673751.6</v>
      </c>
      <c r="IF267" s="48">
        <v>15933454</v>
      </c>
      <c r="IG267" s="48">
        <v>14920808</v>
      </c>
      <c r="IH267" s="48">
        <v>1896030</v>
      </c>
      <c r="II267" s="48">
        <v>495300</v>
      </c>
      <c r="IJ267" s="48">
        <v>12719800</v>
      </c>
      <c r="IK267" s="48">
        <v>2326293</v>
      </c>
      <c r="IL267" s="48">
        <v>2980008</v>
      </c>
      <c r="IM267" s="48">
        <v>0</v>
      </c>
      <c r="IN267" s="48">
        <v>360500</v>
      </c>
      <c r="IO267" s="48">
        <v>1688100</v>
      </c>
      <c r="IP267" s="48">
        <v>0</v>
      </c>
      <c r="IQ267" s="48">
        <v>0</v>
      </c>
      <c r="IR267" s="48">
        <v>0</v>
      </c>
      <c r="IS267" s="48">
        <v>3068643.15</v>
      </c>
      <c r="IT267" s="48">
        <v>508027</v>
      </c>
      <c r="IU267" s="48">
        <v>0</v>
      </c>
      <c r="IV267" s="48">
        <v>0</v>
      </c>
      <c r="IW267" s="48">
        <v>0</v>
      </c>
    </row>
    <row r="268" spans="1:765" s="45" customFormat="1" ht="14.5" x14ac:dyDescent="0.35">
      <c r="A268" s="38" t="s">
        <v>739</v>
      </c>
      <c r="B268" s="39">
        <v>2023</v>
      </c>
      <c r="C268" s="40">
        <v>58270245</v>
      </c>
      <c r="D268" s="45">
        <v>15365</v>
      </c>
      <c r="E268" s="45">
        <v>89</v>
      </c>
      <c r="F268" s="45">
        <v>913</v>
      </c>
      <c r="G268" s="45">
        <v>64</v>
      </c>
      <c r="H268" s="45">
        <v>183</v>
      </c>
      <c r="I268" s="45">
        <v>259</v>
      </c>
      <c r="J268" s="45">
        <v>1792</v>
      </c>
      <c r="K268" s="45">
        <v>5145</v>
      </c>
      <c r="L268" s="45">
        <v>63</v>
      </c>
      <c r="M268" s="45">
        <v>1032</v>
      </c>
      <c r="N268" s="15">
        <v>424</v>
      </c>
      <c r="O268" s="50">
        <v>2447</v>
      </c>
      <c r="P268" s="15">
        <v>415</v>
      </c>
      <c r="Q268" s="15">
        <v>488</v>
      </c>
      <c r="R268" s="50">
        <v>10427</v>
      </c>
      <c r="S268" s="50">
        <v>2230</v>
      </c>
      <c r="T268" s="50">
        <v>1291</v>
      </c>
      <c r="U268" s="15">
        <v>854</v>
      </c>
      <c r="V268" s="15">
        <v>-196</v>
      </c>
      <c r="W268" s="45">
        <v>352549</v>
      </c>
      <c r="X268" s="44"/>
      <c r="Y268" s="44">
        <v>37950.5</v>
      </c>
      <c r="Z268" s="47"/>
      <c r="ID268" s="48">
        <v>3482672</v>
      </c>
      <c r="IE268" s="48">
        <v>7651846</v>
      </c>
      <c r="IF268" s="48">
        <v>16562900</v>
      </c>
      <c r="IG268" s="48">
        <v>16275200</v>
      </c>
      <c r="IH268" s="48">
        <v>725000</v>
      </c>
      <c r="II268" s="48">
        <v>350000</v>
      </c>
      <c r="IJ268" s="48">
        <v>16614000</v>
      </c>
      <c r="IK268" s="48">
        <v>3190231</v>
      </c>
      <c r="IL268" s="48">
        <v>1264200</v>
      </c>
      <c r="IM268" s="48">
        <v>105000</v>
      </c>
      <c r="IN268" s="48">
        <v>27200</v>
      </c>
      <c r="IO268" s="48">
        <v>214457</v>
      </c>
      <c r="IP268" s="48">
        <v>0</v>
      </c>
      <c r="IQ268" s="48">
        <v>0</v>
      </c>
      <c r="IR268" s="48">
        <v>0</v>
      </c>
      <c r="IS268" s="48">
        <v>4075107.44</v>
      </c>
      <c r="IT268" s="48">
        <v>0</v>
      </c>
      <c r="IU268" s="48">
        <v>0</v>
      </c>
      <c r="IV268" s="48">
        <v>0</v>
      </c>
      <c r="IW268" s="48">
        <v>0</v>
      </c>
    </row>
    <row r="269" spans="1:765" s="45" customFormat="1" ht="14.5" x14ac:dyDescent="0.35">
      <c r="A269" s="38" t="s">
        <v>740</v>
      </c>
      <c r="B269" s="39">
        <v>2017</v>
      </c>
      <c r="C269" s="40">
        <v>126606742</v>
      </c>
      <c r="D269" s="41">
        <v>17030.24423299266</v>
      </c>
      <c r="E269" s="41">
        <v>180.24588728629521</v>
      </c>
      <c r="F269" s="41">
        <v>2537.8125643798121</v>
      </c>
      <c r="G269" s="41">
        <v>105.07187826640451</v>
      </c>
      <c r="H269" s="41">
        <v>292.10845846333285</v>
      </c>
      <c r="I269" s="41">
        <v>3322.2675135189465</v>
      </c>
      <c r="J269" s="41">
        <v>1332.9273400294328</v>
      </c>
      <c r="K269" s="41">
        <v>2983.2492369822644</v>
      </c>
      <c r="L269" s="41">
        <v>911.2550999064722</v>
      </c>
      <c r="M269" s="41">
        <v>1264.3298097006721</v>
      </c>
      <c r="N269" s="41">
        <v>755.3081225174376</v>
      </c>
      <c r="O269" s="41">
        <v>2008.9977249651802</v>
      </c>
      <c r="P269" s="41">
        <v>1169.2914488814276</v>
      </c>
      <c r="Q269" s="41">
        <v>578.35778730654647</v>
      </c>
      <c r="R269" s="41">
        <v>4805.3287285609167</v>
      </c>
      <c r="S269" s="41">
        <v>4735.8127515833585</v>
      </c>
      <c r="T269" s="41">
        <v>1901.9121065433633</v>
      </c>
      <c r="U269" s="41">
        <v>1182.738358219729</v>
      </c>
      <c r="V269" s="42">
        <v>-263.35789787765168</v>
      </c>
      <c r="W269" s="43"/>
      <c r="X269" s="44"/>
      <c r="Y269" s="44">
        <v>2564.4</v>
      </c>
      <c r="Z269" s="44">
        <v>46833.901152226608</v>
      </c>
    </row>
    <row r="270" spans="1:765" s="45" customFormat="1" ht="14.5" x14ac:dyDescent="0.35">
      <c r="A270" s="38" t="s">
        <v>740</v>
      </c>
      <c r="B270" s="39">
        <v>2018</v>
      </c>
      <c r="C270" s="40">
        <v>245317160</v>
      </c>
      <c r="D270" s="41">
        <v>17380.211179381276</v>
      </c>
      <c r="E270" s="41">
        <v>177.98143358701338</v>
      </c>
      <c r="F270" s="41">
        <v>2804.6272985088881</v>
      </c>
      <c r="G270" s="41">
        <v>105.71508759922662</v>
      </c>
      <c r="H270" s="41">
        <v>332.64091092450565</v>
      </c>
      <c r="I270" s="41">
        <v>3976.8799716655321</v>
      </c>
      <c r="J270" s="41">
        <v>1382.5585918033833</v>
      </c>
      <c r="K270" s="41">
        <v>4717.6264795043653</v>
      </c>
      <c r="L270" s="41">
        <v>1069.0970620562186</v>
      </c>
      <c r="M270" s="41">
        <v>1345.8438063891506</v>
      </c>
      <c r="N270" s="41">
        <v>597.77471588855747</v>
      </c>
      <c r="O270" s="41">
        <v>2231.9675893760891</v>
      </c>
      <c r="P270" s="41">
        <v>1242.3254109930547</v>
      </c>
      <c r="Q270" s="41">
        <v>675.91543945447336</v>
      </c>
      <c r="R270" s="41">
        <v>5879.4815826679205</v>
      </c>
      <c r="S270" s="41">
        <v>5291.9603431509886</v>
      </c>
      <c r="T270" s="41">
        <v>2134.1537048152909</v>
      </c>
      <c r="U270" s="41">
        <v>1305.4787500223729</v>
      </c>
      <c r="V270" s="42">
        <v>-246.8243016292989</v>
      </c>
      <c r="W270" s="43"/>
      <c r="X270" s="44"/>
      <c r="Y270" s="44">
        <v>2564.4</v>
      </c>
      <c r="Z270" s="44">
        <v>52405.415056159007</v>
      </c>
    </row>
    <row r="271" spans="1:765" s="45" customFormat="1" x14ac:dyDescent="0.3">
      <c r="A271" s="38" t="s">
        <v>740</v>
      </c>
      <c r="B271" s="39">
        <v>2019</v>
      </c>
      <c r="C271" s="40">
        <v>271605362</v>
      </c>
      <c r="D271" s="46"/>
      <c r="E271" s="46"/>
      <c r="F271" s="46"/>
      <c r="G271" s="46"/>
      <c r="H271" s="46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5">
        <v>393177</v>
      </c>
      <c r="X271" s="44"/>
      <c r="Y271" s="44">
        <v>2564.4</v>
      </c>
      <c r="Z271" s="47">
        <v>55874</v>
      </c>
    </row>
    <row r="272" spans="1:765" s="45" customFormat="1" x14ac:dyDescent="0.3">
      <c r="A272" s="38" t="s">
        <v>740</v>
      </c>
      <c r="B272" s="39">
        <v>2020</v>
      </c>
      <c r="C272" s="40">
        <v>254745512</v>
      </c>
      <c r="D272" s="46">
        <v>20682</v>
      </c>
      <c r="E272" s="46">
        <v>211</v>
      </c>
      <c r="F272" s="46">
        <v>2937</v>
      </c>
      <c r="G272" s="46">
        <v>123</v>
      </c>
      <c r="H272" s="46">
        <v>325</v>
      </c>
      <c r="I272" s="40">
        <v>5467</v>
      </c>
      <c r="J272" s="40">
        <v>1466</v>
      </c>
      <c r="K272" s="40">
        <v>5549</v>
      </c>
      <c r="L272" s="40">
        <v>832</v>
      </c>
      <c r="M272" s="40">
        <v>1579</v>
      </c>
      <c r="N272" s="40">
        <v>682</v>
      </c>
      <c r="O272" s="40">
        <v>2518</v>
      </c>
      <c r="P272" s="40">
        <v>1209</v>
      </c>
      <c r="Q272" s="40">
        <v>643</v>
      </c>
      <c r="R272" s="40">
        <v>7725</v>
      </c>
      <c r="S272" s="40">
        <v>5769</v>
      </c>
      <c r="T272" s="40">
        <v>2737</v>
      </c>
      <c r="U272" s="40">
        <v>1241</v>
      </c>
      <c r="V272" s="40">
        <v>-234</v>
      </c>
      <c r="W272" s="45">
        <v>403102</v>
      </c>
      <c r="X272" s="44"/>
      <c r="Y272" s="44">
        <v>2564.4</v>
      </c>
      <c r="Z272" s="47">
        <v>61461</v>
      </c>
    </row>
    <row r="273" spans="1:26" s="45" customFormat="1" x14ac:dyDescent="0.3">
      <c r="A273" s="38" t="s">
        <v>740</v>
      </c>
      <c r="B273" s="39">
        <v>2021</v>
      </c>
      <c r="C273" s="40">
        <v>234293360</v>
      </c>
      <c r="D273" s="46">
        <v>25056</v>
      </c>
      <c r="E273" s="46">
        <v>255</v>
      </c>
      <c r="F273" s="46">
        <v>3038</v>
      </c>
      <c r="G273" s="46">
        <v>120</v>
      </c>
      <c r="H273" s="46">
        <v>366</v>
      </c>
      <c r="I273" s="40">
        <v>6191</v>
      </c>
      <c r="J273" s="40">
        <v>1604</v>
      </c>
      <c r="K273" s="40">
        <v>7780</v>
      </c>
      <c r="L273" s="40">
        <v>1429</v>
      </c>
      <c r="M273" s="40">
        <v>1649</v>
      </c>
      <c r="N273" s="40">
        <v>808</v>
      </c>
      <c r="O273" s="40">
        <v>2693</v>
      </c>
      <c r="P273" s="40">
        <v>1358</v>
      </c>
      <c r="Q273" s="40">
        <v>732</v>
      </c>
      <c r="R273" s="40">
        <v>6671</v>
      </c>
      <c r="S273" s="40">
        <v>7331</v>
      </c>
      <c r="T273" s="40">
        <v>2981</v>
      </c>
      <c r="U273" s="40">
        <v>1395</v>
      </c>
      <c r="V273" s="40">
        <v>-276</v>
      </c>
      <c r="W273" s="45">
        <v>407529</v>
      </c>
      <c r="X273" s="44"/>
      <c r="Y273" s="44">
        <v>2564.4</v>
      </c>
      <c r="Z273" s="47">
        <v>71181</v>
      </c>
    </row>
    <row r="274" spans="1:26" s="45" customFormat="1" x14ac:dyDescent="0.3">
      <c r="A274" s="38" t="s">
        <v>740</v>
      </c>
      <c r="B274" s="39">
        <v>2022</v>
      </c>
      <c r="C274" s="40">
        <v>286737650</v>
      </c>
      <c r="D274" s="46">
        <v>26206</v>
      </c>
      <c r="E274" s="46">
        <v>331</v>
      </c>
      <c r="F274" s="46">
        <v>3197</v>
      </c>
      <c r="G274" s="46">
        <v>111</v>
      </c>
      <c r="H274" s="46">
        <v>369</v>
      </c>
      <c r="I274" s="40">
        <v>6951</v>
      </c>
      <c r="J274" s="40">
        <v>1807</v>
      </c>
      <c r="K274" s="40">
        <v>9800</v>
      </c>
      <c r="L274" s="40">
        <v>1575</v>
      </c>
      <c r="M274" s="40">
        <v>1822</v>
      </c>
      <c r="N274" s="40">
        <v>930</v>
      </c>
      <c r="O274" s="40">
        <v>2900</v>
      </c>
      <c r="P274" s="40">
        <v>1425</v>
      </c>
      <c r="Q274" s="40">
        <v>905</v>
      </c>
      <c r="R274" s="40">
        <v>8373</v>
      </c>
      <c r="S274" s="40">
        <v>7549</v>
      </c>
      <c r="T274" s="40">
        <v>2533</v>
      </c>
      <c r="U274" s="40">
        <v>1520</v>
      </c>
      <c r="V274" s="40">
        <v>-302</v>
      </c>
      <c r="W274" s="45">
        <v>411956</v>
      </c>
      <c r="X274" s="45">
        <v>232060</v>
      </c>
      <c r="Y274" s="44">
        <v>2564.4</v>
      </c>
      <c r="Z274" s="47">
        <v>77999</v>
      </c>
    </row>
    <row r="275" spans="1:26" s="45" customFormat="1" ht="14.5" x14ac:dyDescent="0.35">
      <c r="A275" s="38" t="s">
        <v>740</v>
      </c>
      <c r="B275" s="39">
        <v>2023</v>
      </c>
      <c r="C275" s="40">
        <v>339181940</v>
      </c>
      <c r="D275" s="50">
        <v>31680</v>
      </c>
      <c r="E275" s="15">
        <v>286</v>
      </c>
      <c r="F275" s="50">
        <v>3438</v>
      </c>
      <c r="G275" s="15">
        <v>240</v>
      </c>
      <c r="H275" s="15">
        <v>332</v>
      </c>
      <c r="I275" s="50">
        <v>7317</v>
      </c>
      <c r="J275" s="50">
        <v>2006</v>
      </c>
      <c r="K275" s="50">
        <v>11712</v>
      </c>
      <c r="L275" s="50">
        <v>2039</v>
      </c>
      <c r="M275" s="50">
        <v>1927</v>
      </c>
      <c r="N275" s="50">
        <v>1136</v>
      </c>
      <c r="O275" s="50">
        <v>3146</v>
      </c>
      <c r="P275" s="50">
        <v>1562</v>
      </c>
      <c r="Q275" s="50">
        <v>1072</v>
      </c>
      <c r="R275" s="50">
        <v>8354</v>
      </c>
      <c r="S275" s="50">
        <v>7683</v>
      </c>
      <c r="T275" s="50">
        <v>2690</v>
      </c>
      <c r="U275" s="50">
        <v>1656</v>
      </c>
      <c r="V275" s="15">
        <v>-343</v>
      </c>
      <c r="W275" s="45">
        <v>416383</v>
      </c>
      <c r="X275" s="44"/>
      <c r="Y275" s="44">
        <v>2564.4</v>
      </c>
      <c r="Z275" s="47"/>
    </row>
    <row r="276" spans="1:26" s="45" customFormat="1" ht="14.5" x14ac:dyDescent="0.35">
      <c r="A276" s="38" t="s">
        <v>741</v>
      </c>
      <c r="B276" s="39">
        <v>2017</v>
      </c>
      <c r="C276" s="40">
        <v>246062902</v>
      </c>
      <c r="D276" s="41">
        <v>48217.764204076972</v>
      </c>
      <c r="E276" s="41">
        <v>303.60873398951588</v>
      </c>
      <c r="F276" s="41">
        <v>5393.566235672708</v>
      </c>
      <c r="G276" s="41">
        <v>440.89673767444833</v>
      </c>
      <c r="H276" s="41">
        <v>793.64499104361971</v>
      </c>
      <c r="I276" s="41">
        <v>2620.8608685094937</v>
      </c>
      <c r="J276" s="41">
        <v>13877.107917618343</v>
      </c>
      <c r="K276" s="41">
        <v>13388.910838536129</v>
      </c>
      <c r="L276" s="41">
        <v>1488.3833298472377</v>
      </c>
      <c r="M276" s="41">
        <v>4067.8165323912071</v>
      </c>
      <c r="N276" s="41">
        <v>2582.69448563163</v>
      </c>
      <c r="O276" s="41">
        <v>7161.7181885833807</v>
      </c>
      <c r="P276" s="41">
        <v>1969.4246145716966</v>
      </c>
      <c r="Q276" s="41">
        <v>888.5895399757859</v>
      </c>
      <c r="R276" s="41">
        <v>5866.3891922493249</v>
      </c>
      <c r="S276" s="41">
        <v>7327.1251717149653</v>
      </c>
      <c r="T276" s="41">
        <v>2804.1473776116354</v>
      </c>
      <c r="U276" s="41">
        <v>3511.7726607682325</v>
      </c>
      <c r="V276" s="42">
        <v>-1016.4179261210971</v>
      </c>
      <c r="W276" s="43"/>
      <c r="X276" s="44"/>
      <c r="Y276" s="44">
        <v>2495.1999999999998</v>
      </c>
      <c r="Z276" s="44">
        <v>121688.00369434523</v>
      </c>
    </row>
    <row r="277" spans="1:26" s="45" customFormat="1" ht="14.5" x14ac:dyDescent="0.35">
      <c r="A277" s="38" t="s">
        <v>741</v>
      </c>
      <c r="B277" s="39">
        <v>2018</v>
      </c>
      <c r="C277" s="40">
        <v>370824751</v>
      </c>
      <c r="D277" s="41">
        <v>59964.293029674009</v>
      </c>
      <c r="E277" s="41">
        <v>284.45945901584741</v>
      </c>
      <c r="F277" s="41">
        <v>5479.9435955481113</v>
      </c>
      <c r="G277" s="41">
        <v>358.37895914719502</v>
      </c>
      <c r="H277" s="41">
        <v>833.4293379912101</v>
      </c>
      <c r="I277" s="41">
        <v>3126.8845905631938</v>
      </c>
      <c r="J277" s="41">
        <v>14443.162335779834</v>
      </c>
      <c r="K277" s="41">
        <v>19372.263113476241</v>
      </c>
      <c r="L277" s="41">
        <v>1746.1918680251574</v>
      </c>
      <c r="M277" s="41">
        <v>4330.0772026740487</v>
      </c>
      <c r="N277" s="41">
        <v>2318.7774962110493</v>
      </c>
      <c r="O277" s="41">
        <v>7961.041131629886</v>
      </c>
      <c r="P277" s="41">
        <v>2092.4349066763143</v>
      </c>
      <c r="Q277" s="41">
        <v>1038.4772239420722</v>
      </c>
      <c r="R277" s="41">
        <v>7319.9398116282337</v>
      </c>
      <c r="S277" s="41">
        <v>8279.9451460689834</v>
      </c>
      <c r="T277" s="41">
        <v>2767.8621487182099</v>
      </c>
      <c r="U277" s="41">
        <v>3877.2230519318382</v>
      </c>
      <c r="V277" s="42">
        <v>-1217.729587446868</v>
      </c>
      <c r="W277" s="43"/>
      <c r="X277" s="44"/>
      <c r="Y277" s="44">
        <v>2495.1999999999998</v>
      </c>
      <c r="Z277" s="44">
        <v>144377.05482125457</v>
      </c>
    </row>
    <row r="278" spans="1:26" s="45" customFormat="1" x14ac:dyDescent="0.3">
      <c r="A278" s="38" t="s">
        <v>741</v>
      </c>
      <c r="B278" s="39">
        <v>2019</v>
      </c>
      <c r="C278" s="40">
        <v>356077068</v>
      </c>
      <c r="D278" s="46"/>
      <c r="E278" s="46"/>
      <c r="F278" s="46"/>
      <c r="G278" s="46"/>
      <c r="H278" s="46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5">
        <v>990341</v>
      </c>
      <c r="X278" s="44"/>
      <c r="Y278" s="44">
        <v>2495.1999999999998</v>
      </c>
      <c r="Z278" s="47">
        <v>151079</v>
      </c>
    </row>
    <row r="279" spans="1:26" s="45" customFormat="1" x14ac:dyDescent="0.3">
      <c r="A279" s="38" t="s">
        <v>741</v>
      </c>
      <c r="B279" s="39">
        <v>2020</v>
      </c>
      <c r="C279" s="40">
        <v>340453746</v>
      </c>
      <c r="D279" s="46">
        <v>71178</v>
      </c>
      <c r="E279" s="46">
        <v>317</v>
      </c>
      <c r="F279" s="46">
        <v>5657</v>
      </c>
      <c r="G279" s="46">
        <v>415</v>
      </c>
      <c r="H279" s="46">
        <v>802</v>
      </c>
      <c r="I279" s="40">
        <v>4303</v>
      </c>
      <c r="J279" s="40">
        <v>15442</v>
      </c>
      <c r="K279" s="40">
        <v>22409</v>
      </c>
      <c r="L279" s="40">
        <v>1359</v>
      </c>
      <c r="M279" s="40">
        <v>5080</v>
      </c>
      <c r="N279" s="40">
        <v>2582</v>
      </c>
      <c r="O279" s="40">
        <v>8988</v>
      </c>
      <c r="P279" s="40">
        <v>2036</v>
      </c>
      <c r="Q279" s="40">
        <v>988</v>
      </c>
      <c r="R279" s="40">
        <v>9794</v>
      </c>
      <c r="S279" s="40">
        <v>8736</v>
      </c>
      <c r="T279" s="40">
        <v>3116</v>
      </c>
      <c r="U279" s="40">
        <v>3701</v>
      </c>
      <c r="V279" s="40">
        <v>-1204</v>
      </c>
      <c r="W279" s="45">
        <v>1010265</v>
      </c>
      <c r="X279" s="44"/>
      <c r="Y279" s="44">
        <v>2495.1999999999998</v>
      </c>
      <c r="Z279" s="47">
        <v>165700</v>
      </c>
    </row>
    <row r="280" spans="1:26" s="45" customFormat="1" x14ac:dyDescent="0.3">
      <c r="A280" s="38" t="s">
        <v>741</v>
      </c>
      <c r="B280" s="39">
        <v>2021</v>
      </c>
      <c r="C280" s="40">
        <v>184127118</v>
      </c>
      <c r="D280" s="46">
        <v>68971</v>
      </c>
      <c r="E280" s="46">
        <v>379</v>
      </c>
      <c r="F280" s="46">
        <v>5604</v>
      </c>
      <c r="G280" s="46">
        <v>405</v>
      </c>
      <c r="H280" s="46">
        <v>512</v>
      </c>
      <c r="I280" s="40">
        <v>4892</v>
      </c>
      <c r="J280" s="40">
        <v>16904</v>
      </c>
      <c r="K280" s="40">
        <v>27828</v>
      </c>
      <c r="L280" s="40">
        <v>2334</v>
      </c>
      <c r="M280" s="40">
        <v>5307</v>
      </c>
      <c r="N280" s="40">
        <v>3045</v>
      </c>
      <c r="O280" s="40">
        <v>9656</v>
      </c>
      <c r="P280" s="40">
        <v>2288</v>
      </c>
      <c r="Q280" s="40">
        <v>1125</v>
      </c>
      <c r="R280" s="40">
        <v>10940</v>
      </c>
      <c r="S280" s="40">
        <v>11035</v>
      </c>
      <c r="T280" s="40">
        <v>3276</v>
      </c>
      <c r="U280" s="40">
        <v>4154</v>
      </c>
      <c r="V280" s="40">
        <v>-1149</v>
      </c>
      <c r="W280" s="45">
        <v>1029856</v>
      </c>
      <c r="X280" s="44"/>
      <c r="Y280" s="44">
        <v>2495.1999999999998</v>
      </c>
      <c r="Z280" s="47">
        <v>177505</v>
      </c>
    </row>
    <row r="281" spans="1:26" s="45" customFormat="1" x14ac:dyDescent="0.3">
      <c r="A281" s="38" t="s">
        <v>741</v>
      </c>
      <c r="B281" s="39">
        <v>2022</v>
      </c>
      <c r="C281" s="40">
        <v>295819000</v>
      </c>
      <c r="D281" s="46">
        <v>67591</v>
      </c>
      <c r="E281" s="46">
        <v>491</v>
      </c>
      <c r="F281" s="46">
        <v>5918</v>
      </c>
      <c r="G281" s="46">
        <v>376</v>
      </c>
      <c r="H281" s="46">
        <v>475</v>
      </c>
      <c r="I281" s="40">
        <v>5474</v>
      </c>
      <c r="J281" s="40">
        <v>18971</v>
      </c>
      <c r="K281" s="40">
        <v>35971</v>
      </c>
      <c r="L281" s="40">
        <v>2572</v>
      </c>
      <c r="M281" s="40">
        <v>5862</v>
      </c>
      <c r="N281" s="40">
        <v>3523</v>
      </c>
      <c r="O281" s="40">
        <v>10357</v>
      </c>
      <c r="P281" s="40">
        <v>2399</v>
      </c>
      <c r="Q281" s="40">
        <v>1390</v>
      </c>
      <c r="R281" s="40">
        <v>10923</v>
      </c>
      <c r="S281" s="40">
        <v>11558</v>
      </c>
      <c r="T281" s="40">
        <v>3326</v>
      </c>
      <c r="U281" s="40">
        <v>4516</v>
      </c>
      <c r="V281" s="40">
        <v>-1227</v>
      </c>
      <c r="W281" s="45">
        <v>1049448</v>
      </c>
      <c r="X281" s="45">
        <v>251586</v>
      </c>
      <c r="Y281" s="44">
        <v>2495.1999999999998</v>
      </c>
      <c r="Z281" s="47">
        <v>190466</v>
      </c>
    </row>
    <row r="282" spans="1:26" s="45" customFormat="1" ht="14.5" x14ac:dyDescent="0.35">
      <c r="A282" s="38" t="s">
        <v>741</v>
      </c>
      <c r="B282" s="39">
        <v>2023</v>
      </c>
      <c r="C282" s="40">
        <v>407510882</v>
      </c>
      <c r="D282" s="50">
        <v>94688</v>
      </c>
      <c r="E282" s="15">
        <v>425</v>
      </c>
      <c r="F282" s="50">
        <v>6908</v>
      </c>
      <c r="G282" s="15">
        <v>593</v>
      </c>
      <c r="H282" s="15">
        <v>767</v>
      </c>
      <c r="I282" s="50">
        <v>5769</v>
      </c>
      <c r="J282" s="50">
        <v>21012</v>
      </c>
      <c r="K282" s="50">
        <v>41848</v>
      </c>
      <c r="L282" s="50">
        <v>3331</v>
      </c>
      <c r="M282" s="50">
        <v>6200</v>
      </c>
      <c r="N282" s="50">
        <v>4234</v>
      </c>
      <c r="O282" s="50">
        <v>11309</v>
      </c>
      <c r="P282" s="50">
        <v>2630</v>
      </c>
      <c r="Q282" s="50">
        <v>1647</v>
      </c>
      <c r="R282" s="50">
        <v>11962</v>
      </c>
      <c r="S282" s="50">
        <v>11740</v>
      </c>
      <c r="T282" s="50">
        <v>3516</v>
      </c>
      <c r="U282" s="50">
        <v>4914</v>
      </c>
      <c r="V282" s="50">
        <v>-1754</v>
      </c>
      <c r="W282" s="45">
        <v>1069039</v>
      </c>
      <c r="X282" s="44"/>
      <c r="Y282" s="44">
        <v>2495.1999999999998</v>
      </c>
      <c r="Z282" s="47"/>
    </row>
    <row r="283" spans="1:26" s="45" customFormat="1" ht="14.5" x14ac:dyDescent="0.35">
      <c r="A283" s="38" t="s">
        <v>742</v>
      </c>
      <c r="B283" s="39">
        <v>2017</v>
      </c>
      <c r="C283" s="40">
        <v>143896898</v>
      </c>
      <c r="D283" s="41">
        <v>23920.978507426822</v>
      </c>
      <c r="E283" s="41">
        <v>102.76669144378702</v>
      </c>
      <c r="F283" s="41">
        <v>1886.6562117950707</v>
      </c>
      <c r="G283" s="41">
        <v>176.89281048874557</v>
      </c>
      <c r="H283" s="41">
        <v>449.29415515840765</v>
      </c>
      <c r="I283" s="41">
        <v>3218.0705953504048</v>
      </c>
      <c r="J283" s="41">
        <v>4924.7383497033925</v>
      </c>
      <c r="K283" s="41">
        <v>12981.412109826349</v>
      </c>
      <c r="L283" s="41">
        <v>249.5103249743911</v>
      </c>
      <c r="M283" s="41">
        <v>757.34532097173781</v>
      </c>
      <c r="N283" s="41">
        <v>953.86685136313156</v>
      </c>
      <c r="O283" s="41">
        <v>5762.9946636450795</v>
      </c>
      <c r="P283" s="41">
        <v>512.81657735752856</v>
      </c>
      <c r="Q283" s="41">
        <v>564.4549558809083</v>
      </c>
      <c r="R283" s="41">
        <v>11564.543926850572</v>
      </c>
      <c r="S283" s="41">
        <v>4915.9434405747343</v>
      </c>
      <c r="T283" s="41">
        <v>1339.4845509911443</v>
      </c>
      <c r="U283" s="41">
        <v>1427.7065174884187</v>
      </c>
      <c r="V283" s="42">
        <v>-330.11046694862728</v>
      </c>
      <c r="W283" s="43"/>
      <c r="X283" s="44"/>
      <c r="Y283" s="44">
        <v>68232.899999999994</v>
      </c>
      <c r="Z283" s="44">
        <v>75379.366094342011</v>
      </c>
    </row>
    <row r="284" spans="1:26" s="45" customFormat="1" ht="14.5" x14ac:dyDescent="0.35">
      <c r="A284" s="38" t="s">
        <v>742</v>
      </c>
      <c r="B284" s="39">
        <v>2018</v>
      </c>
      <c r="C284" s="40">
        <v>175028751</v>
      </c>
      <c r="D284" s="41">
        <v>28543.655539611642</v>
      </c>
      <c r="E284" s="41">
        <v>131.34502816707399</v>
      </c>
      <c r="F284" s="41">
        <v>1993.6717835308355</v>
      </c>
      <c r="G284" s="41">
        <v>43.660630965528597</v>
      </c>
      <c r="H284" s="41">
        <v>492.52781052070657</v>
      </c>
      <c r="I284" s="41">
        <v>3845.635676357675</v>
      </c>
      <c r="J284" s="41">
        <v>5108.1098668480026</v>
      </c>
      <c r="K284" s="41">
        <v>17050.203427474335</v>
      </c>
      <c r="L284" s="41">
        <v>292.72895746777419</v>
      </c>
      <c r="M284" s="41">
        <v>806.35381810265585</v>
      </c>
      <c r="N284" s="41">
        <v>671.78619484811338</v>
      </c>
      <c r="O284" s="41">
        <v>6401.6377902746981</v>
      </c>
      <c r="P284" s="41">
        <v>544.84710876761665</v>
      </c>
      <c r="Q284" s="41">
        <v>659.66747215989471</v>
      </c>
      <c r="R284" s="41">
        <v>15902.370638739058</v>
      </c>
      <c r="S284" s="41">
        <v>5531.6047105093039</v>
      </c>
      <c r="T284" s="41">
        <v>1266.0702131267979</v>
      </c>
      <c r="U284" s="41">
        <v>1573.2920905474516</v>
      </c>
      <c r="V284" s="42">
        <v>-202.65693942515603</v>
      </c>
      <c r="W284" s="43"/>
      <c r="X284" s="44"/>
      <c r="Y284" s="44">
        <v>68232.899999999994</v>
      </c>
      <c r="Z284" s="44">
        <v>90656.511818594008</v>
      </c>
    </row>
    <row r="285" spans="1:26" s="45" customFormat="1" x14ac:dyDescent="0.3">
      <c r="A285" s="38" t="s">
        <v>742</v>
      </c>
      <c r="B285" s="39">
        <v>2019</v>
      </c>
      <c r="C285" s="40">
        <v>176228405</v>
      </c>
      <c r="D285" s="46"/>
      <c r="E285" s="46"/>
      <c r="F285" s="46"/>
      <c r="G285" s="46"/>
      <c r="H285" s="46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5">
        <v>926976</v>
      </c>
      <c r="X285" s="44"/>
      <c r="Y285" s="44">
        <v>68232.899999999994</v>
      </c>
      <c r="Z285" s="47">
        <v>101579</v>
      </c>
    </row>
    <row r="286" spans="1:26" s="45" customFormat="1" x14ac:dyDescent="0.3">
      <c r="A286" s="38" t="s">
        <v>742</v>
      </c>
      <c r="B286" s="39">
        <v>2020</v>
      </c>
      <c r="C286" s="40">
        <v>203038221</v>
      </c>
      <c r="D286" s="46">
        <v>37444</v>
      </c>
      <c r="E286" s="46">
        <v>104</v>
      </c>
      <c r="F286" s="46">
        <v>2248</v>
      </c>
      <c r="G286" s="46">
        <v>50</v>
      </c>
      <c r="H286" s="46">
        <v>466</v>
      </c>
      <c r="I286" s="40">
        <v>5289</v>
      </c>
      <c r="J286" s="40">
        <v>5417</v>
      </c>
      <c r="K286" s="40">
        <v>19105</v>
      </c>
      <c r="L286" s="40">
        <v>228</v>
      </c>
      <c r="M286" s="40">
        <v>946</v>
      </c>
      <c r="N286" s="40">
        <v>969</v>
      </c>
      <c r="O286" s="40">
        <v>7222</v>
      </c>
      <c r="P286" s="40">
        <v>530</v>
      </c>
      <c r="Q286" s="40">
        <v>627</v>
      </c>
      <c r="R286" s="40">
        <v>19841</v>
      </c>
      <c r="S286" s="40">
        <v>4115</v>
      </c>
      <c r="T286" s="40">
        <v>1614</v>
      </c>
      <c r="U286" s="40">
        <v>1457</v>
      </c>
      <c r="V286" s="40">
        <v>-222</v>
      </c>
      <c r="W286" s="45">
        <v>946464</v>
      </c>
      <c r="X286" s="44"/>
      <c r="Y286" s="44">
        <v>68232.899999999994</v>
      </c>
      <c r="Z286" s="47">
        <v>107450</v>
      </c>
    </row>
    <row r="287" spans="1:26" s="45" customFormat="1" x14ac:dyDescent="0.3">
      <c r="A287" s="38" t="s">
        <v>742</v>
      </c>
      <c r="B287" s="39">
        <v>2021</v>
      </c>
      <c r="C287" s="40">
        <v>204349844</v>
      </c>
      <c r="D287" s="46">
        <v>39984</v>
      </c>
      <c r="E287" s="46">
        <v>124</v>
      </c>
      <c r="F287" s="46">
        <v>2476</v>
      </c>
      <c r="G287" s="46">
        <v>49</v>
      </c>
      <c r="H287" s="46">
        <v>468</v>
      </c>
      <c r="I287" s="40">
        <v>6002</v>
      </c>
      <c r="J287" s="40">
        <v>5927</v>
      </c>
      <c r="K287" s="40">
        <v>21570</v>
      </c>
      <c r="L287" s="40">
        <v>391</v>
      </c>
      <c r="M287" s="40">
        <v>988</v>
      </c>
      <c r="N287" s="40">
        <v>1185</v>
      </c>
      <c r="O287" s="40">
        <v>7714</v>
      </c>
      <c r="P287" s="40">
        <v>596</v>
      </c>
      <c r="Q287" s="40">
        <v>715</v>
      </c>
      <c r="R287" s="40">
        <v>15293</v>
      </c>
      <c r="S287" s="40">
        <v>5124</v>
      </c>
      <c r="T287" s="40">
        <v>1717</v>
      </c>
      <c r="U287" s="40">
        <v>1650</v>
      </c>
      <c r="V287" s="40">
        <v>-344</v>
      </c>
      <c r="W287" s="45">
        <v>971900</v>
      </c>
      <c r="X287" s="44"/>
      <c r="Y287" s="44">
        <v>68232.899999999994</v>
      </c>
      <c r="Z287" s="47">
        <v>111628</v>
      </c>
    </row>
    <row r="288" spans="1:26" s="45" customFormat="1" x14ac:dyDescent="0.3">
      <c r="A288" s="38" t="s">
        <v>742</v>
      </c>
      <c r="B288" s="39">
        <v>2022</v>
      </c>
      <c r="C288" s="40">
        <v>177717811</v>
      </c>
      <c r="D288" s="46">
        <v>40214</v>
      </c>
      <c r="E288" s="46">
        <v>1482</v>
      </c>
      <c r="F288" s="46">
        <v>2655</v>
      </c>
      <c r="G288" s="46">
        <v>45</v>
      </c>
      <c r="H288" s="46">
        <v>446</v>
      </c>
      <c r="I288" s="40">
        <v>6727</v>
      </c>
      <c r="J288" s="40">
        <v>6675</v>
      </c>
      <c r="K288" s="40">
        <v>27757</v>
      </c>
      <c r="L288" s="40">
        <v>431</v>
      </c>
      <c r="M288" s="40">
        <v>1091</v>
      </c>
      <c r="N288" s="40">
        <v>1388</v>
      </c>
      <c r="O288" s="40">
        <v>8314</v>
      </c>
      <c r="P288" s="40">
        <v>625</v>
      </c>
      <c r="Q288" s="40">
        <v>883</v>
      </c>
      <c r="R288" s="40">
        <v>21067</v>
      </c>
      <c r="S288" s="40">
        <v>5403</v>
      </c>
      <c r="T288" s="40">
        <v>2033</v>
      </c>
      <c r="U288" s="40">
        <v>1826</v>
      </c>
      <c r="V288" s="40">
        <v>-366</v>
      </c>
      <c r="W288" s="45">
        <v>997337</v>
      </c>
      <c r="X288" s="45">
        <v>178209</v>
      </c>
      <c r="Y288" s="44">
        <v>68232.899999999994</v>
      </c>
      <c r="Z288" s="47">
        <v>128697</v>
      </c>
    </row>
    <row r="289" spans="1:715" s="45" customFormat="1" ht="14.5" x14ac:dyDescent="0.35">
      <c r="A289" s="38" t="s">
        <v>742</v>
      </c>
      <c r="B289" s="39">
        <v>2023</v>
      </c>
      <c r="C289" s="40">
        <v>151085778</v>
      </c>
      <c r="D289" s="50">
        <v>59849</v>
      </c>
      <c r="E289" s="15">
        <v>150</v>
      </c>
      <c r="F289" s="50">
        <v>2944</v>
      </c>
      <c r="G289" s="15">
        <v>136</v>
      </c>
      <c r="H289" s="15">
        <v>421</v>
      </c>
      <c r="I289" s="50">
        <v>7086</v>
      </c>
      <c r="J289" s="50">
        <v>7410</v>
      </c>
      <c r="K289" s="50">
        <v>31404</v>
      </c>
      <c r="L289" s="15">
        <v>558</v>
      </c>
      <c r="M289" s="50">
        <v>1154</v>
      </c>
      <c r="N289" s="50">
        <v>1611</v>
      </c>
      <c r="O289" s="50">
        <v>9003</v>
      </c>
      <c r="P289" s="15">
        <v>685</v>
      </c>
      <c r="Q289" s="50">
        <v>1046</v>
      </c>
      <c r="R289" s="50">
        <v>22632</v>
      </c>
      <c r="S289" s="50">
        <v>6229</v>
      </c>
      <c r="T289" s="50">
        <v>2186</v>
      </c>
      <c r="U289" s="50">
        <v>2008</v>
      </c>
      <c r="V289" s="15">
        <v>-334</v>
      </c>
      <c r="W289" s="45">
        <v>1022773</v>
      </c>
      <c r="X289" s="44"/>
      <c r="Y289" s="44">
        <v>68232.899999999994</v>
      </c>
      <c r="Z289" s="47"/>
    </row>
    <row r="290" spans="1:715" s="45" customFormat="1" ht="14.5" x14ac:dyDescent="0.35">
      <c r="A290" s="38" t="s">
        <v>743</v>
      </c>
      <c r="B290" s="39">
        <v>2017</v>
      </c>
      <c r="C290" s="40">
        <v>819220211</v>
      </c>
      <c r="D290" s="41">
        <v>46357.111108427242</v>
      </c>
      <c r="E290" s="41">
        <v>793.38234438936956</v>
      </c>
      <c r="F290" s="41">
        <v>11250.970902957128</v>
      </c>
      <c r="G290" s="41">
        <v>1199.5841865497575</v>
      </c>
      <c r="H290" s="41">
        <v>1968.2600604493166</v>
      </c>
      <c r="I290" s="41">
        <v>7248.8728838132683</v>
      </c>
      <c r="J290" s="41">
        <v>18068.094868658234</v>
      </c>
      <c r="K290" s="41">
        <v>26214.141684365954</v>
      </c>
      <c r="L290" s="41">
        <v>2961.5790746960329</v>
      </c>
      <c r="M290" s="41">
        <v>2222.0146511809094</v>
      </c>
      <c r="N290" s="41">
        <v>13362.618652770479</v>
      </c>
      <c r="O290" s="41">
        <v>16693.290078121179</v>
      </c>
      <c r="P290" s="41">
        <v>4953.1638515907971</v>
      </c>
      <c r="Q290" s="41">
        <v>2067.5496448698996</v>
      </c>
      <c r="R290" s="41">
        <v>8846.7694502368322</v>
      </c>
      <c r="S290" s="41">
        <v>16355.762067580636</v>
      </c>
      <c r="T290" s="41">
        <v>7978.4361648666672</v>
      </c>
      <c r="U290" s="41">
        <v>5781.5037042434933</v>
      </c>
      <c r="V290" s="42">
        <v>-5882.4479660942361</v>
      </c>
      <c r="W290" s="43"/>
      <c r="X290" s="44"/>
      <c r="Y290" s="44">
        <v>3392.2</v>
      </c>
      <c r="Z290" s="44">
        <v>188440.65741367295</v>
      </c>
    </row>
    <row r="291" spans="1:715" s="45" customFormat="1" ht="14.5" x14ac:dyDescent="0.35">
      <c r="A291" s="38" t="s">
        <v>743</v>
      </c>
      <c r="B291" s="39">
        <v>2018</v>
      </c>
      <c r="C291" s="40">
        <v>918942252</v>
      </c>
      <c r="D291" s="41">
        <v>51392.179818981589</v>
      </c>
      <c r="E291" s="41">
        <v>743.34196355997483</v>
      </c>
      <c r="F291" s="41">
        <v>10933.036774574019</v>
      </c>
      <c r="G291" s="41">
        <v>1390.4466866532196</v>
      </c>
      <c r="H291" s="41">
        <v>1950.2948737723059</v>
      </c>
      <c r="I291" s="41">
        <v>8676.6357706103554</v>
      </c>
      <c r="J291" s="41">
        <v>19172.654488972054</v>
      </c>
      <c r="K291" s="41">
        <v>31148.506154789182</v>
      </c>
      <c r="L291" s="41">
        <v>3474.5654516827099</v>
      </c>
      <c r="M291" s="41">
        <v>2366.0893835666743</v>
      </c>
      <c r="N291" s="41">
        <v>11658.630092309844</v>
      </c>
      <c r="O291" s="41">
        <v>18571.436421573657</v>
      </c>
      <c r="P291" s="41">
        <v>5262.5385429184571</v>
      </c>
      <c r="Q291" s="41">
        <v>2416.3048505223451</v>
      </c>
      <c r="R291" s="41">
        <v>9368.3136545263551</v>
      </c>
      <c r="S291" s="41">
        <v>17225.119122107826</v>
      </c>
      <c r="T291" s="41">
        <v>9270.9364880432695</v>
      </c>
      <c r="U291" s="41">
        <v>6385.8414699017058</v>
      </c>
      <c r="V291" s="42">
        <v>-6649.890357618905</v>
      </c>
      <c r="W291" s="43"/>
      <c r="X291" s="44"/>
      <c r="Y291" s="44">
        <v>3392.2</v>
      </c>
      <c r="Z291" s="44">
        <v>204756.98165144658</v>
      </c>
    </row>
    <row r="292" spans="1:715" s="45" customFormat="1" ht="15.5" x14ac:dyDescent="0.35">
      <c r="A292" s="38" t="s">
        <v>743</v>
      </c>
      <c r="B292" s="39">
        <v>2019</v>
      </c>
      <c r="C292" s="40">
        <v>779331351</v>
      </c>
      <c r="D292" s="46"/>
      <c r="E292" s="46"/>
      <c r="F292" s="46"/>
      <c r="G292" s="46"/>
      <c r="H292" s="46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5">
        <v>1163186</v>
      </c>
      <c r="X292" s="44"/>
      <c r="Y292" s="44">
        <v>3392.2</v>
      </c>
      <c r="Z292" s="47">
        <v>223831</v>
      </c>
      <c r="YP292" s="74">
        <v>144300698.19999999</v>
      </c>
      <c r="YQ292" s="74">
        <v>104837735.83</v>
      </c>
      <c r="YR292" s="74">
        <v>108150355</v>
      </c>
      <c r="YS292" s="74">
        <v>103515416</v>
      </c>
      <c r="YT292" s="74">
        <v>56541457</v>
      </c>
      <c r="YU292" s="74">
        <v>41901470.75</v>
      </c>
      <c r="YV292" s="74">
        <v>27984573</v>
      </c>
      <c r="YW292" s="74">
        <v>18272397</v>
      </c>
      <c r="YX292" s="74">
        <v>17062550</v>
      </c>
      <c r="YY292" s="74">
        <v>21552447</v>
      </c>
      <c r="YZ292" s="74">
        <v>22915263</v>
      </c>
      <c r="ZA292" s="74">
        <v>9008737</v>
      </c>
      <c r="ZB292" s="74">
        <v>12140044</v>
      </c>
      <c r="ZC292" s="74">
        <v>13549632.9</v>
      </c>
      <c r="ZD292" s="74">
        <v>9549499</v>
      </c>
      <c r="ZE292" s="74">
        <v>9752419.4000000004</v>
      </c>
      <c r="ZF292" s="74">
        <v>4360030.75</v>
      </c>
      <c r="ZG292" s="74">
        <v>5495462</v>
      </c>
      <c r="ZH292" s="74">
        <v>3298953.9</v>
      </c>
      <c r="ZI292" s="74">
        <v>4273690</v>
      </c>
      <c r="ZJ292" s="74">
        <v>5318520</v>
      </c>
      <c r="ZK292" s="74">
        <v>5041090</v>
      </c>
      <c r="ZL292" s="74">
        <v>4715517</v>
      </c>
      <c r="ZM292" s="74">
        <v>5953600</v>
      </c>
      <c r="ZN292" s="74">
        <v>3108737</v>
      </c>
      <c r="ZO292" s="74">
        <v>3538557</v>
      </c>
      <c r="ZP292" s="74">
        <v>2441130</v>
      </c>
      <c r="ZQ292" s="74"/>
      <c r="ZR292" s="74">
        <v>3074279</v>
      </c>
      <c r="ZS292" s="74">
        <v>1977237</v>
      </c>
      <c r="ZT292" s="74">
        <v>1246106.8500000001</v>
      </c>
      <c r="ZU292" s="74">
        <v>2034749</v>
      </c>
      <c r="ZV292" s="74">
        <v>811000</v>
      </c>
      <c r="ZW292" s="74"/>
      <c r="ZX292" s="74">
        <v>979600</v>
      </c>
      <c r="ZY292" s="74">
        <v>198800</v>
      </c>
      <c r="ZZ292" s="74">
        <v>97203</v>
      </c>
      <c r="AAA292" s="74"/>
      <c r="AAB292" s="75">
        <v>4185.0199999999704</v>
      </c>
      <c r="AAC292" s="74"/>
      <c r="AAD292" s="74">
        <v>230805</v>
      </c>
      <c r="AAE292" s="74"/>
      <c r="AAF292" s="74">
        <v>7778.6</v>
      </c>
      <c r="AAG292" s="74">
        <v>18595</v>
      </c>
      <c r="AAH292" s="74"/>
      <c r="AAI292" s="74">
        <v>70430</v>
      </c>
      <c r="AAJ292" s="74"/>
      <c r="AAK292" s="74"/>
      <c r="AAL292" s="74"/>
      <c r="AAM292" s="74"/>
    </row>
    <row r="293" spans="1:715" s="45" customFormat="1" ht="15.5" x14ac:dyDescent="0.35">
      <c r="A293" s="38" t="s">
        <v>743</v>
      </c>
      <c r="B293" s="39">
        <v>2020</v>
      </c>
      <c r="C293" s="40">
        <v>1105676540</v>
      </c>
      <c r="D293" s="46">
        <v>57570</v>
      </c>
      <c r="E293" s="46">
        <v>828</v>
      </c>
      <c r="F293" s="46">
        <v>11360</v>
      </c>
      <c r="G293" s="46">
        <v>1594</v>
      </c>
      <c r="H293" s="46">
        <v>1921</v>
      </c>
      <c r="I293" s="40">
        <v>11929</v>
      </c>
      <c r="J293" s="40">
        <v>21437</v>
      </c>
      <c r="K293" s="40">
        <v>34477</v>
      </c>
      <c r="L293" s="40">
        <v>2704</v>
      </c>
      <c r="M293" s="40">
        <v>2774</v>
      </c>
      <c r="N293" s="40">
        <v>12860</v>
      </c>
      <c r="O293" s="40">
        <v>20987</v>
      </c>
      <c r="P293" s="40">
        <v>5120</v>
      </c>
      <c r="Q293" s="40">
        <v>2298</v>
      </c>
      <c r="R293" s="40">
        <v>12017</v>
      </c>
      <c r="S293" s="40">
        <v>18797</v>
      </c>
      <c r="T293" s="40">
        <v>9975</v>
      </c>
      <c r="U293" s="40">
        <v>6135</v>
      </c>
      <c r="V293" s="40">
        <v>-6911</v>
      </c>
      <c r="W293" s="45">
        <v>1183030</v>
      </c>
      <c r="X293" s="44"/>
      <c r="Y293" s="44">
        <v>3392.2</v>
      </c>
      <c r="Z293" s="47">
        <v>227871</v>
      </c>
      <c r="YP293" s="76">
        <v>217470498</v>
      </c>
      <c r="YQ293" s="76">
        <v>272350042.44999999</v>
      </c>
      <c r="YR293" s="76">
        <v>159771812.91</v>
      </c>
      <c r="YS293" s="76">
        <v>107274642</v>
      </c>
      <c r="YT293" s="76">
        <v>61145799.359999999</v>
      </c>
      <c r="YU293" s="76">
        <v>41227335.5</v>
      </c>
      <c r="YV293" s="76">
        <v>32723915</v>
      </c>
      <c r="YW293" s="76">
        <v>32684136.079999998</v>
      </c>
      <c r="YX293" s="76">
        <v>25222640</v>
      </c>
      <c r="YY293" s="76">
        <v>22570780</v>
      </c>
      <c r="YZ293" s="76">
        <v>16428740.5</v>
      </c>
      <c r="ZA293" s="76">
        <v>16549758</v>
      </c>
      <c r="ZB293" s="76">
        <v>14963526</v>
      </c>
      <c r="ZC293" s="76">
        <v>6783417</v>
      </c>
      <c r="ZD293" s="76">
        <v>5533095</v>
      </c>
      <c r="ZE293" s="76">
        <v>7264500</v>
      </c>
      <c r="ZF293" s="76">
        <v>11904583.300000001</v>
      </c>
      <c r="ZG293" s="76">
        <v>6058887</v>
      </c>
      <c r="ZH293" s="76">
        <v>3849633.45</v>
      </c>
      <c r="ZI293" s="76">
        <v>4921140</v>
      </c>
      <c r="ZJ293" s="76">
        <v>5382286</v>
      </c>
      <c r="ZK293" s="76">
        <v>2172250</v>
      </c>
      <c r="ZL293" s="76">
        <v>4476504</v>
      </c>
      <c r="ZM293" s="76">
        <v>2029690</v>
      </c>
      <c r="ZN293" s="76">
        <v>3889850</v>
      </c>
      <c r="ZO293" s="76">
        <v>3051343</v>
      </c>
      <c r="ZP293" s="76">
        <v>5998730.1299999999</v>
      </c>
      <c r="ZQ293" s="76"/>
      <c r="ZR293" s="76">
        <v>4223060</v>
      </c>
      <c r="ZS293" s="76">
        <v>3395572.54</v>
      </c>
      <c r="ZT293" s="76">
        <v>1679076.85</v>
      </c>
      <c r="ZU293" s="76">
        <v>495699</v>
      </c>
      <c r="ZV293" s="76">
        <v>662820</v>
      </c>
      <c r="ZW293" s="76">
        <v>132000</v>
      </c>
      <c r="ZX293" s="77">
        <v>114200</v>
      </c>
      <c r="ZY293" s="76">
        <v>384500</v>
      </c>
      <c r="ZZ293" s="76">
        <v>360400</v>
      </c>
      <c r="AAA293" s="76">
        <v>220800</v>
      </c>
      <c r="AAB293" s="78">
        <v>2675.91000000029</v>
      </c>
      <c r="AAC293" s="76">
        <v>161060</v>
      </c>
      <c r="AAD293" s="76">
        <v>84641</v>
      </c>
      <c r="AAE293" s="76"/>
      <c r="AAF293" s="76">
        <v>37050</v>
      </c>
      <c r="AAG293" s="76"/>
      <c r="AAH293" s="76"/>
      <c r="AAI293" s="76"/>
      <c r="AAJ293" s="76">
        <v>23450</v>
      </c>
      <c r="AAK293" s="76"/>
      <c r="AAL293" s="76"/>
      <c r="AAM293" s="76"/>
    </row>
    <row r="294" spans="1:715" s="45" customFormat="1" ht="15.5" x14ac:dyDescent="0.35">
      <c r="A294" s="38" t="s">
        <v>743</v>
      </c>
      <c r="B294" s="39">
        <v>2021</v>
      </c>
      <c r="C294" s="40">
        <v>858349602</v>
      </c>
      <c r="D294" s="46">
        <v>67057</v>
      </c>
      <c r="E294" s="46">
        <v>990</v>
      </c>
      <c r="F294" s="46">
        <v>11373</v>
      </c>
      <c r="G294" s="46">
        <v>1567</v>
      </c>
      <c r="H294" s="46">
        <v>2375</v>
      </c>
      <c r="I294" s="40">
        <v>13508</v>
      </c>
      <c r="J294" s="40">
        <v>23524</v>
      </c>
      <c r="K294" s="40">
        <v>43327</v>
      </c>
      <c r="L294" s="40">
        <v>4644</v>
      </c>
      <c r="M294" s="40">
        <v>2899</v>
      </c>
      <c r="N294" s="40">
        <v>15593</v>
      </c>
      <c r="O294" s="40">
        <v>22692</v>
      </c>
      <c r="P294" s="40">
        <v>5754</v>
      </c>
      <c r="Q294" s="40">
        <v>2618</v>
      </c>
      <c r="R294" s="40">
        <v>13458</v>
      </c>
      <c r="S294" s="40">
        <v>23753</v>
      </c>
      <c r="T294" s="40">
        <v>12471</v>
      </c>
      <c r="U294" s="40">
        <v>6873</v>
      </c>
      <c r="V294" s="40">
        <v>-5598</v>
      </c>
      <c r="W294" s="45">
        <v>1207797</v>
      </c>
      <c r="X294" s="44"/>
      <c r="Y294" s="44">
        <v>3392.2</v>
      </c>
      <c r="Z294" s="47">
        <v>268877</v>
      </c>
      <c r="YP294" s="77">
        <v>155725850.44999999</v>
      </c>
      <c r="YQ294" s="77">
        <v>139945034.12</v>
      </c>
      <c r="YR294" s="77">
        <v>145189046.90000001</v>
      </c>
      <c r="YS294" s="77">
        <v>116155191.59999999</v>
      </c>
      <c r="YT294" s="77">
        <v>59219430.100000001</v>
      </c>
      <c r="YU294" s="77">
        <v>22134536.420000002</v>
      </c>
      <c r="YV294" s="79">
        <v>38398829.649999999</v>
      </c>
      <c r="YW294" s="77">
        <v>20998538.449999999</v>
      </c>
      <c r="YX294" s="77">
        <v>16959060</v>
      </c>
      <c r="YY294" s="77">
        <v>16895141</v>
      </c>
      <c r="YZ294" s="77">
        <v>24457945.550000001</v>
      </c>
      <c r="ZA294" s="77">
        <v>21641745</v>
      </c>
      <c r="ZB294" s="77">
        <v>10992839</v>
      </c>
      <c r="ZC294" s="77">
        <v>9573723</v>
      </c>
      <c r="ZD294" s="77">
        <v>6756658</v>
      </c>
      <c r="ZE294" s="79">
        <v>7200999.6900000004</v>
      </c>
      <c r="ZF294" s="77">
        <v>0</v>
      </c>
      <c r="ZG294" s="77">
        <v>3958588</v>
      </c>
      <c r="ZH294" s="77">
        <v>7657965.5099999998</v>
      </c>
      <c r="ZI294" s="77">
        <v>5672531</v>
      </c>
      <c r="ZJ294" s="77">
        <v>2243289</v>
      </c>
      <c r="ZK294" s="77">
        <v>4119624.01</v>
      </c>
      <c r="ZL294" s="77">
        <v>3226627</v>
      </c>
      <c r="ZM294" s="77">
        <v>2454296</v>
      </c>
      <c r="ZN294" s="77">
        <v>3223468</v>
      </c>
      <c r="ZO294" s="77">
        <v>2634784</v>
      </c>
      <c r="ZP294" s="77">
        <v>2020345</v>
      </c>
      <c r="ZQ294" s="77"/>
      <c r="ZR294" s="77">
        <v>748475</v>
      </c>
      <c r="ZS294" s="77">
        <v>797923</v>
      </c>
      <c r="ZT294" s="77">
        <v>3301429.3</v>
      </c>
      <c r="ZU294" s="79">
        <v>903262</v>
      </c>
      <c r="ZV294" s="77">
        <v>851911</v>
      </c>
      <c r="ZW294" s="77">
        <v>170985.75</v>
      </c>
      <c r="ZX294" s="77">
        <v>534166</v>
      </c>
      <c r="ZY294" s="77">
        <v>97500</v>
      </c>
      <c r="ZZ294" s="77">
        <v>663828</v>
      </c>
      <c r="AAA294" s="77">
        <v>390000</v>
      </c>
      <c r="AAB294" s="77">
        <v>8065.6499999996104</v>
      </c>
      <c r="AAC294" s="77">
        <v>361920</v>
      </c>
      <c r="AAD294" s="77">
        <v>15650</v>
      </c>
      <c r="AAE294" s="77"/>
      <c r="AAF294" s="77">
        <v>25573.85</v>
      </c>
      <c r="AAG294" s="77"/>
      <c r="AAH294" s="77"/>
      <c r="AAI294" s="77"/>
      <c r="AAJ294" s="79">
        <v>23010</v>
      </c>
      <c r="AAK294" s="80"/>
      <c r="AAL294" s="77"/>
      <c r="AAM294" s="77"/>
    </row>
    <row r="295" spans="1:715" s="45" customFormat="1" ht="15.5" x14ac:dyDescent="0.35">
      <c r="A295" s="38" t="s">
        <v>743</v>
      </c>
      <c r="B295" s="39">
        <v>2022</v>
      </c>
      <c r="C295" s="40">
        <v>979779764</v>
      </c>
      <c r="D295" s="46">
        <v>64460</v>
      </c>
      <c r="E295" s="46">
        <v>1283</v>
      </c>
      <c r="F295" s="46">
        <v>13613</v>
      </c>
      <c r="G295" s="46">
        <v>3065</v>
      </c>
      <c r="H295" s="46">
        <v>2171</v>
      </c>
      <c r="I295" s="40">
        <v>15167</v>
      </c>
      <c r="J295" s="40">
        <v>25907</v>
      </c>
      <c r="K295" s="40">
        <v>55396</v>
      </c>
      <c r="L295" s="40">
        <v>5119</v>
      </c>
      <c r="M295" s="40">
        <v>3200</v>
      </c>
      <c r="N295" s="40">
        <v>18196</v>
      </c>
      <c r="O295" s="40">
        <v>24209</v>
      </c>
      <c r="P295" s="40">
        <v>6034</v>
      </c>
      <c r="Q295" s="40">
        <v>3235</v>
      </c>
      <c r="R295" s="40">
        <v>16181</v>
      </c>
      <c r="S295" s="40">
        <v>24518</v>
      </c>
      <c r="T295" s="40">
        <v>12511</v>
      </c>
      <c r="U295" s="40">
        <v>7444</v>
      </c>
      <c r="V295" s="40">
        <v>-6012</v>
      </c>
      <c r="W295" s="45">
        <v>1232564</v>
      </c>
      <c r="X295" s="45">
        <v>468604</v>
      </c>
      <c r="Y295" s="44">
        <v>3392.2</v>
      </c>
      <c r="Z295" s="47">
        <v>295698</v>
      </c>
      <c r="YP295" s="81">
        <v>215350172.15000001</v>
      </c>
      <c r="YQ295" s="81">
        <v>104760334.40000001</v>
      </c>
      <c r="YR295" s="81">
        <v>127008840.27</v>
      </c>
      <c r="YS295" s="81">
        <v>112471737.92</v>
      </c>
      <c r="YT295" s="82">
        <v>79902850.239999995</v>
      </c>
      <c r="YU295" s="81">
        <v>70254426.530000001</v>
      </c>
      <c r="YV295" s="81">
        <v>37472079</v>
      </c>
      <c r="YW295" s="81">
        <v>29358555.75</v>
      </c>
      <c r="YX295" s="81">
        <v>27030691.359999999</v>
      </c>
      <c r="YY295" s="81">
        <v>18716539</v>
      </c>
      <c r="YZ295" s="81">
        <v>17184081.5</v>
      </c>
      <c r="ZA295" s="81">
        <v>22706698</v>
      </c>
      <c r="ZB295" s="81">
        <v>21096617.440000001</v>
      </c>
      <c r="ZC295" s="81">
        <v>25713660</v>
      </c>
      <c r="ZD295" s="81">
        <v>9389687.3000000007</v>
      </c>
      <c r="ZE295" s="81">
        <v>8076506</v>
      </c>
      <c r="ZF295" s="81">
        <v>0</v>
      </c>
      <c r="ZG295" s="81">
        <v>5548096.1299999999</v>
      </c>
      <c r="ZH295" s="81">
        <v>4621598.7</v>
      </c>
      <c r="ZI295" s="81">
        <v>5243549.22</v>
      </c>
      <c r="ZJ295" s="81">
        <v>4352645</v>
      </c>
      <c r="ZK295" s="81">
        <v>2534969</v>
      </c>
      <c r="ZL295" s="81">
        <v>4227318.5</v>
      </c>
      <c r="ZM295" s="81">
        <v>3027694</v>
      </c>
      <c r="ZN295" s="81">
        <v>4130417</v>
      </c>
      <c r="ZO295" s="81">
        <v>4174675</v>
      </c>
      <c r="ZP295" s="81">
        <v>2281440</v>
      </c>
      <c r="ZQ295" s="81">
        <v>0</v>
      </c>
      <c r="ZR295" s="81">
        <v>861484</v>
      </c>
      <c r="ZS295" s="83">
        <v>2099384.15</v>
      </c>
      <c r="ZT295" s="81">
        <v>1589676</v>
      </c>
      <c r="ZU295" s="81">
        <v>1131539</v>
      </c>
      <c r="ZV295" s="81">
        <v>796750</v>
      </c>
      <c r="ZW295" s="81">
        <v>2673731.2999999998</v>
      </c>
      <c r="ZX295" s="82">
        <v>265520</v>
      </c>
      <c r="ZY295" s="81">
        <v>988400</v>
      </c>
      <c r="ZZ295" s="81">
        <v>803220</v>
      </c>
      <c r="AAA295" s="81">
        <v>176550</v>
      </c>
      <c r="AAB295" s="81">
        <v>340.87</v>
      </c>
      <c r="AAC295" s="81">
        <v>534996</v>
      </c>
      <c r="AAD295" s="81">
        <v>44461</v>
      </c>
      <c r="AAE295" s="81">
        <v>536739.44999999995</v>
      </c>
      <c r="AAF295" s="83">
        <v>422726.15</v>
      </c>
      <c r="AAG295" s="81">
        <v>0</v>
      </c>
      <c r="AAH295" s="81">
        <v>192036.55</v>
      </c>
      <c r="AAI295" s="81">
        <v>0</v>
      </c>
      <c r="AAJ295" s="81">
        <v>18080</v>
      </c>
      <c r="AAK295" s="81">
        <v>36450</v>
      </c>
      <c r="AAL295" s="81">
        <v>0</v>
      </c>
      <c r="AAM295" s="81">
        <v>0</v>
      </c>
    </row>
    <row r="296" spans="1:715" s="45" customFormat="1" ht="18" x14ac:dyDescent="0.4">
      <c r="A296" s="38" t="s">
        <v>743</v>
      </c>
      <c r="B296" s="39">
        <v>2023</v>
      </c>
      <c r="C296" s="40">
        <v>1101209926</v>
      </c>
      <c r="D296" s="50">
        <v>96917</v>
      </c>
      <c r="E296" s="50">
        <v>1111</v>
      </c>
      <c r="F296" s="50">
        <v>14848</v>
      </c>
      <c r="G296" s="50">
        <v>4765</v>
      </c>
      <c r="H296" s="50">
        <v>1880</v>
      </c>
      <c r="I296" s="50">
        <v>15965</v>
      </c>
      <c r="J296" s="50">
        <v>28332</v>
      </c>
      <c r="K296" s="50">
        <v>64879</v>
      </c>
      <c r="L296" s="50">
        <v>6628</v>
      </c>
      <c r="M296" s="50">
        <v>3384</v>
      </c>
      <c r="N296" s="50">
        <v>20945</v>
      </c>
      <c r="O296" s="50">
        <v>26680</v>
      </c>
      <c r="P296" s="50">
        <v>6615</v>
      </c>
      <c r="Q296" s="50">
        <v>3832</v>
      </c>
      <c r="R296" s="50">
        <v>15065</v>
      </c>
      <c r="S296" s="50">
        <v>26070</v>
      </c>
      <c r="T296" s="50">
        <v>13848</v>
      </c>
      <c r="U296" s="50">
        <v>8081</v>
      </c>
      <c r="V296" s="50">
        <v>-10561</v>
      </c>
      <c r="W296" s="45">
        <v>1257330</v>
      </c>
      <c r="X296" s="44"/>
      <c r="Y296" s="44">
        <v>3392.2</v>
      </c>
      <c r="Z296" s="47"/>
      <c r="YP296" s="81">
        <v>206227908.30000001</v>
      </c>
      <c r="YQ296" s="81">
        <v>104014832.29000001</v>
      </c>
      <c r="YR296" s="81">
        <v>127186122</v>
      </c>
      <c r="YS296" s="81">
        <v>113902207.93000001</v>
      </c>
      <c r="YT296" s="82">
        <v>115944700</v>
      </c>
      <c r="YU296" s="81">
        <v>57684190.399999999</v>
      </c>
      <c r="YV296" s="81">
        <v>42862000</v>
      </c>
      <c r="YW296" s="81">
        <v>17723237</v>
      </c>
      <c r="YX296" s="81">
        <v>26777770</v>
      </c>
      <c r="YY296" s="81">
        <v>24237129</v>
      </c>
      <c r="YZ296" s="81">
        <v>14928857</v>
      </c>
      <c r="ZA296" s="81">
        <v>22357067</v>
      </c>
      <c r="ZB296" s="81">
        <v>22918009</v>
      </c>
      <c r="ZC296" s="81">
        <v>44275673</v>
      </c>
      <c r="ZD296" s="81">
        <v>2049852</v>
      </c>
      <c r="ZE296" s="81">
        <v>13067649</v>
      </c>
      <c r="ZF296" s="81">
        <v>0</v>
      </c>
      <c r="ZG296" s="81">
        <v>10549353</v>
      </c>
      <c r="ZH296" s="81">
        <v>2075918.7</v>
      </c>
      <c r="ZI296" s="81">
        <v>4589800</v>
      </c>
      <c r="ZJ296" s="81">
        <v>1639961</v>
      </c>
      <c r="ZK296" s="81">
        <v>1474196</v>
      </c>
      <c r="ZL296" s="81">
        <v>4807363</v>
      </c>
      <c r="ZM296" s="81">
        <v>2031926</v>
      </c>
      <c r="ZN296" s="81">
        <v>1164658</v>
      </c>
      <c r="ZO296" s="81">
        <v>3314200</v>
      </c>
      <c r="ZP296" s="81">
        <v>1320100</v>
      </c>
      <c r="ZQ296" s="81">
        <v>0</v>
      </c>
      <c r="ZR296" s="81">
        <v>1150650</v>
      </c>
      <c r="ZS296" s="83">
        <v>2088010</v>
      </c>
      <c r="ZT296" s="81">
        <v>1766981.7</v>
      </c>
      <c r="ZU296" s="81">
        <v>1535320</v>
      </c>
      <c r="ZV296" s="81">
        <v>384730</v>
      </c>
      <c r="ZW296" s="81">
        <v>60000</v>
      </c>
      <c r="ZX296" s="84">
        <v>93645</v>
      </c>
      <c r="ZY296" s="81">
        <v>55000</v>
      </c>
      <c r="ZZ296" s="81">
        <v>182201</v>
      </c>
      <c r="AAA296" s="81">
        <v>1169002</v>
      </c>
      <c r="AAB296" s="81">
        <v>0</v>
      </c>
      <c r="AAC296" s="81">
        <v>888830</v>
      </c>
      <c r="AAD296" s="81">
        <v>46400</v>
      </c>
      <c r="AAE296" s="81">
        <v>5332143.9000000004</v>
      </c>
      <c r="AAF296" s="83">
        <v>0</v>
      </c>
      <c r="AAG296" s="81">
        <v>0</v>
      </c>
      <c r="AAH296" s="81">
        <v>1014127.55</v>
      </c>
      <c r="AAI296" s="81">
        <v>0</v>
      </c>
      <c r="AAJ296" s="81">
        <v>136100</v>
      </c>
      <c r="AAK296" s="85">
        <v>249815</v>
      </c>
      <c r="AAL296" s="85">
        <v>399104244</v>
      </c>
      <c r="AAM296" s="85">
        <v>396024</v>
      </c>
    </row>
    <row r="297" spans="1:715" s="45" customFormat="1" ht="14.5" x14ac:dyDescent="0.35">
      <c r="A297" s="38" t="s">
        <v>744</v>
      </c>
      <c r="B297" s="39">
        <v>2017</v>
      </c>
      <c r="C297" s="40">
        <v>143530752</v>
      </c>
      <c r="D297" s="41">
        <v>23782.064013122003</v>
      </c>
      <c r="E297" s="41">
        <v>1855.1039051670778</v>
      </c>
      <c r="F297" s="41">
        <v>1360.6917561164</v>
      </c>
      <c r="G297" s="41">
        <v>313.48953264543445</v>
      </c>
      <c r="H297" s="41">
        <v>471.64159655991693</v>
      </c>
      <c r="I297" s="41">
        <v>4015.7420393282428</v>
      </c>
      <c r="J297" s="41">
        <v>2824.4933293423696</v>
      </c>
      <c r="K297" s="41">
        <v>2990.0791643345819</v>
      </c>
      <c r="L297" s="41">
        <v>28.205514997105084</v>
      </c>
      <c r="M297" s="41">
        <v>707.55160628583087</v>
      </c>
      <c r="N297" s="41">
        <v>888.70322726266045</v>
      </c>
      <c r="O297" s="41">
        <v>5222.0941603756391</v>
      </c>
      <c r="P297" s="41">
        <v>1273.7702082751516</v>
      </c>
      <c r="Q297" s="41">
        <v>724.53612915325584</v>
      </c>
      <c r="R297" s="41">
        <v>4501.5383144280931</v>
      </c>
      <c r="S297" s="41">
        <v>5602.302860826323</v>
      </c>
      <c r="T297" s="41">
        <v>1983.3559284807441</v>
      </c>
      <c r="U297" s="41">
        <v>1766.1133984777207</v>
      </c>
      <c r="V297" s="42">
        <v>-348.21884674313719</v>
      </c>
      <c r="W297" s="43"/>
      <c r="X297" s="44"/>
      <c r="Y297" s="44">
        <v>563.79999999999995</v>
      </c>
      <c r="Z297" s="44">
        <v>59963.257838435391</v>
      </c>
    </row>
    <row r="298" spans="1:715" s="45" customFormat="1" ht="14.5" x14ac:dyDescent="0.35">
      <c r="A298" s="38" t="s">
        <v>744</v>
      </c>
      <c r="B298" s="39">
        <v>2018</v>
      </c>
      <c r="C298" s="40">
        <v>177233290</v>
      </c>
      <c r="D298" s="41">
        <v>25115.328378412749</v>
      </c>
      <c r="E298" s="41">
        <v>1738.0983950884472</v>
      </c>
      <c r="F298" s="41">
        <v>1368.5450201889889</v>
      </c>
      <c r="G298" s="41">
        <v>283.04409256116929</v>
      </c>
      <c r="H298" s="41">
        <v>469.92557812386269</v>
      </c>
      <c r="I298" s="41">
        <v>4797.8911247495007</v>
      </c>
      <c r="J298" s="41">
        <v>2929.6627078816787</v>
      </c>
      <c r="K298" s="41">
        <v>4948.0970299115907</v>
      </c>
      <c r="L298" s="41">
        <v>33.091099539835341</v>
      </c>
      <c r="M298" s="41">
        <v>753.18097161647597</v>
      </c>
      <c r="N298" s="41">
        <v>617.59884393376763</v>
      </c>
      <c r="O298" s="41">
        <v>5801.9506911097405</v>
      </c>
      <c r="P298" s="41">
        <v>1353.3299153260157</v>
      </c>
      <c r="Q298" s="41">
        <v>846.75120986604372</v>
      </c>
      <c r="R298" s="41">
        <v>7571.334313658369</v>
      </c>
      <c r="S298" s="41">
        <v>6308.2199366511231</v>
      </c>
      <c r="T298" s="41">
        <v>2144.1208271520677</v>
      </c>
      <c r="U298" s="41">
        <v>1949.3778904147496</v>
      </c>
      <c r="V298" s="42">
        <v>-379.28360724079312</v>
      </c>
      <c r="W298" s="43"/>
      <c r="X298" s="44"/>
      <c r="Y298" s="44">
        <v>563.79999999999995</v>
      </c>
      <c r="Z298" s="44">
        <v>68650.2644189454</v>
      </c>
    </row>
    <row r="299" spans="1:715" s="45" customFormat="1" x14ac:dyDescent="0.3">
      <c r="A299" s="38" t="s">
        <v>744</v>
      </c>
      <c r="B299" s="39">
        <v>2019</v>
      </c>
      <c r="C299" s="40">
        <v>148199136</v>
      </c>
      <c r="D299" s="46"/>
      <c r="E299" s="46"/>
      <c r="F299" s="46"/>
      <c r="G299" s="46"/>
      <c r="H299" s="46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5">
        <v>590013</v>
      </c>
      <c r="X299" s="44"/>
      <c r="Y299" s="44">
        <v>563.79999999999995</v>
      </c>
      <c r="Z299" s="47">
        <v>76884</v>
      </c>
    </row>
    <row r="300" spans="1:715" s="45" customFormat="1" x14ac:dyDescent="0.3">
      <c r="A300" s="38" t="s">
        <v>744</v>
      </c>
      <c r="B300" s="39">
        <v>2020</v>
      </c>
      <c r="C300" s="40">
        <v>165894340</v>
      </c>
      <c r="D300" s="46">
        <v>35660</v>
      </c>
      <c r="E300" s="46">
        <v>1937</v>
      </c>
      <c r="F300" s="46">
        <v>1431</v>
      </c>
      <c r="G300" s="46">
        <v>327</v>
      </c>
      <c r="H300" s="46">
        <v>482</v>
      </c>
      <c r="I300" s="40">
        <v>6600</v>
      </c>
      <c r="J300" s="40">
        <v>3107</v>
      </c>
      <c r="K300" s="40">
        <v>5792</v>
      </c>
      <c r="L300" s="40">
        <v>26</v>
      </c>
      <c r="M300" s="40">
        <v>884</v>
      </c>
      <c r="N300" s="40">
        <v>690</v>
      </c>
      <c r="O300" s="40">
        <v>6547</v>
      </c>
      <c r="P300" s="40">
        <v>1317</v>
      </c>
      <c r="Q300" s="40">
        <v>805</v>
      </c>
      <c r="R300" s="40">
        <v>7801</v>
      </c>
      <c r="S300" s="40">
        <v>6336</v>
      </c>
      <c r="T300" s="40">
        <v>2573</v>
      </c>
      <c r="U300" s="40">
        <v>1853</v>
      </c>
      <c r="V300" s="40">
        <v>-394</v>
      </c>
      <c r="W300" s="45">
        <v>609926</v>
      </c>
      <c r="X300" s="44"/>
      <c r="Y300" s="44">
        <v>563.79999999999995</v>
      </c>
      <c r="Z300" s="47">
        <v>83773</v>
      </c>
    </row>
    <row r="301" spans="1:715" s="45" customFormat="1" x14ac:dyDescent="0.3">
      <c r="A301" s="38" t="s">
        <v>744</v>
      </c>
      <c r="B301" s="39">
        <v>2021</v>
      </c>
      <c r="C301" s="40">
        <v>240890593</v>
      </c>
      <c r="D301" s="46">
        <v>35747</v>
      </c>
      <c r="E301" s="46">
        <v>2314</v>
      </c>
      <c r="F301" s="46">
        <v>1407</v>
      </c>
      <c r="G301" s="46">
        <v>319</v>
      </c>
      <c r="H301" s="46">
        <v>473</v>
      </c>
      <c r="I301" s="40">
        <v>7490</v>
      </c>
      <c r="J301" s="40">
        <v>3399</v>
      </c>
      <c r="K301" s="40">
        <v>7963</v>
      </c>
      <c r="L301" s="40">
        <v>44</v>
      </c>
      <c r="M301" s="40">
        <v>923</v>
      </c>
      <c r="N301" s="40">
        <v>815</v>
      </c>
      <c r="O301" s="40">
        <v>7004</v>
      </c>
      <c r="P301" s="40">
        <v>1480</v>
      </c>
      <c r="Q301" s="40">
        <v>918</v>
      </c>
      <c r="R301" s="40">
        <v>7710</v>
      </c>
      <c r="S301" s="40">
        <v>8036</v>
      </c>
      <c r="T301" s="40">
        <v>2807</v>
      </c>
      <c r="U301" s="40">
        <v>2082</v>
      </c>
      <c r="V301" s="40">
        <v>-347</v>
      </c>
      <c r="W301" s="45">
        <v>615206</v>
      </c>
      <c r="X301" s="44"/>
      <c r="Y301" s="44">
        <v>563.79999999999995</v>
      </c>
      <c r="Z301" s="47">
        <v>90585</v>
      </c>
    </row>
    <row r="302" spans="1:715" s="45" customFormat="1" x14ac:dyDescent="0.3">
      <c r="A302" s="38" t="s">
        <v>744</v>
      </c>
      <c r="B302" s="39">
        <v>2022</v>
      </c>
      <c r="C302" s="40">
        <v>229848536</v>
      </c>
      <c r="D302" s="46">
        <v>39160</v>
      </c>
      <c r="E302" s="46">
        <v>2999</v>
      </c>
      <c r="F302" s="46">
        <v>1399</v>
      </c>
      <c r="G302" s="46">
        <v>296</v>
      </c>
      <c r="H302" s="46">
        <v>479</v>
      </c>
      <c r="I302" s="40">
        <v>8394</v>
      </c>
      <c r="J302" s="40">
        <v>3828</v>
      </c>
      <c r="K302" s="40">
        <v>10054</v>
      </c>
      <c r="L302" s="40">
        <v>49</v>
      </c>
      <c r="M302" s="40">
        <v>1020</v>
      </c>
      <c r="N302" s="40">
        <v>959</v>
      </c>
      <c r="O302" s="40">
        <v>7539</v>
      </c>
      <c r="P302" s="40">
        <v>1552</v>
      </c>
      <c r="Q302" s="40">
        <v>1134</v>
      </c>
      <c r="R302" s="40">
        <v>9118</v>
      </c>
      <c r="S302" s="40">
        <v>8315</v>
      </c>
      <c r="T302" s="40">
        <v>2993</v>
      </c>
      <c r="U302" s="40">
        <v>2269</v>
      </c>
      <c r="V302" s="40">
        <v>-373</v>
      </c>
      <c r="W302" s="45">
        <v>620485</v>
      </c>
      <c r="X302" s="45">
        <v>257750</v>
      </c>
      <c r="Y302" s="44">
        <v>563.79999999999995</v>
      </c>
      <c r="Z302" s="47">
        <v>101182</v>
      </c>
    </row>
    <row r="303" spans="1:715" s="45" customFormat="1" ht="14.5" x14ac:dyDescent="0.35">
      <c r="A303" s="38" t="s">
        <v>744</v>
      </c>
      <c r="B303" s="39">
        <v>2023</v>
      </c>
      <c r="C303" s="40">
        <v>218806479</v>
      </c>
      <c r="D303" s="50">
        <v>42289</v>
      </c>
      <c r="E303" s="50">
        <v>2597</v>
      </c>
      <c r="F303" s="50">
        <v>1757</v>
      </c>
      <c r="G303" s="15">
        <v>287</v>
      </c>
      <c r="H303" s="15">
        <v>465</v>
      </c>
      <c r="I303" s="50">
        <v>8842</v>
      </c>
      <c r="J303" s="50">
        <v>4250</v>
      </c>
      <c r="K303" s="50">
        <v>11980</v>
      </c>
      <c r="L303" s="15">
        <v>63</v>
      </c>
      <c r="M303" s="50">
        <v>1078</v>
      </c>
      <c r="N303" s="50">
        <v>1119</v>
      </c>
      <c r="O303" s="50">
        <v>8183</v>
      </c>
      <c r="P303" s="50">
        <v>1701</v>
      </c>
      <c r="Q303" s="50">
        <v>1343</v>
      </c>
      <c r="R303" s="50">
        <v>9403</v>
      </c>
      <c r="S303" s="50">
        <v>8746</v>
      </c>
      <c r="T303" s="50">
        <v>3086</v>
      </c>
      <c r="U303" s="50">
        <v>2473</v>
      </c>
      <c r="V303" s="15">
        <v>-589</v>
      </c>
      <c r="W303" s="45">
        <v>625765</v>
      </c>
      <c r="X303" s="44"/>
      <c r="Y303" s="44">
        <v>563.79999999999995</v>
      </c>
      <c r="Z303" s="47"/>
    </row>
    <row r="304" spans="1:715" s="45" customFormat="1" ht="14.5" x14ac:dyDescent="0.35">
      <c r="A304" s="38" t="s">
        <v>745</v>
      </c>
      <c r="B304" s="39">
        <v>2017</v>
      </c>
      <c r="C304" s="40">
        <v>67608475</v>
      </c>
      <c r="D304" s="41">
        <v>14645.379412425649</v>
      </c>
      <c r="E304" s="41">
        <v>500.31810535278305</v>
      </c>
      <c r="F304" s="41">
        <v>1033.2119599166867</v>
      </c>
      <c r="G304" s="41">
        <v>56.086691267181187</v>
      </c>
      <c r="H304" s="41">
        <v>347.88224742389775</v>
      </c>
      <c r="I304" s="41">
        <v>3071.5292019757399</v>
      </c>
      <c r="J304" s="41">
        <v>883.4597368020909</v>
      </c>
      <c r="K304" s="41">
        <v>2274.4140613206155</v>
      </c>
      <c r="L304" s="41">
        <v>32.544824996659713</v>
      </c>
      <c r="M304" s="41">
        <v>297.19792411140708</v>
      </c>
      <c r="N304" s="41">
        <v>370.23898241806154</v>
      </c>
      <c r="O304" s="41">
        <v>1315.320002382761</v>
      </c>
      <c r="P304" s="41">
        <v>201.99226816119966</v>
      </c>
      <c r="Q304" s="41">
        <v>187.88683612362394</v>
      </c>
      <c r="R304" s="41">
        <v>10416.758310475263</v>
      </c>
      <c r="S304" s="41">
        <v>1802.1143777848024</v>
      </c>
      <c r="T304" s="41">
        <v>1393.8973849505842</v>
      </c>
      <c r="U304" s="41">
        <v>741.09114549211961</v>
      </c>
      <c r="V304" s="42">
        <v>-185.25695815966031</v>
      </c>
      <c r="W304" s="43"/>
      <c r="X304" s="44"/>
      <c r="Y304" s="44">
        <v>56773.1</v>
      </c>
      <c r="Z304" s="44">
        <v>39386.066515221471</v>
      </c>
    </row>
    <row r="305" spans="1:665" s="45" customFormat="1" ht="14.5" x14ac:dyDescent="0.35">
      <c r="A305" s="38" t="s">
        <v>745</v>
      </c>
      <c r="B305" s="39">
        <v>2018</v>
      </c>
      <c r="C305" s="40">
        <v>60123112</v>
      </c>
      <c r="D305" s="41">
        <v>15021.839792444202</v>
      </c>
      <c r="E305" s="41">
        <v>468.7619348572527</v>
      </c>
      <c r="F305" s="41">
        <v>1105.0226841912506</v>
      </c>
      <c r="G305" s="41">
        <v>53.160253467768456</v>
      </c>
      <c r="H305" s="41">
        <v>362.78490843481779</v>
      </c>
      <c r="I305" s="41">
        <v>3678.8312374861089</v>
      </c>
      <c r="J305" s="41">
        <v>916.35516024000526</v>
      </c>
      <c r="K305" s="41">
        <v>2832.6351908220358</v>
      </c>
      <c r="L305" s="41">
        <v>38.182037930579241</v>
      </c>
      <c r="M305" s="41">
        <v>316.36575155580789</v>
      </c>
      <c r="N305" s="41">
        <v>389.1049530603745</v>
      </c>
      <c r="O305" s="41">
        <v>1461.7221716204911</v>
      </c>
      <c r="P305" s="41">
        <v>214.60870837705787</v>
      </c>
      <c r="Q305" s="41">
        <v>219.5796722953063</v>
      </c>
      <c r="R305" s="41">
        <v>10746.051595312434</v>
      </c>
      <c r="S305" s="41">
        <v>2044.6331984148453</v>
      </c>
      <c r="T305" s="41">
        <v>2103.3324369523843</v>
      </c>
      <c r="U305" s="41">
        <v>814.96251859840618</v>
      </c>
      <c r="V305" s="42">
        <v>-91.496065043188338</v>
      </c>
      <c r="W305" s="43"/>
      <c r="X305" s="44"/>
      <c r="Y305" s="44">
        <v>56773.1</v>
      </c>
      <c r="Z305" s="44">
        <v>42696.438141017927</v>
      </c>
    </row>
    <row r="306" spans="1:665" s="45" customFormat="1" x14ac:dyDescent="0.3">
      <c r="A306" s="38" t="s">
        <v>745</v>
      </c>
      <c r="B306" s="39">
        <v>2019</v>
      </c>
      <c r="C306" s="40">
        <v>60417086</v>
      </c>
      <c r="D306" s="46"/>
      <c r="E306" s="46"/>
      <c r="F306" s="46"/>
      <c r="G306" s="46"/>
      <c r="H306" s="46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5">
        <v>781263</v>
      </c>
      <c r="X306" s="44"/>
      <c r="Y306" s="44">
        <v>56773.1</v>
      </c>
      <c r="Z306" s="47">
        <v>46964</v>
      </c>
    </row>
    <row r="307" spans="1:665" s="45" customFormat="1" x14ac:dyDescent="0.3">
      <c r="A307" s="38" t="s">
        <v>745</v>
      </c>
      <c r="B307" s="39">
        <v>2020</v>
      </c>
      <c r="C307" s="40">
        <v>66264716</v>
      </c>
      <c r="D307" s="46">
        <v>17008</v>
      </c>
      <c r="E307" s="46">
        <v>522</v>
      </c>
      <c r="F307" s="46">
        <v>1225</v>
      </c>
      <c r="G307" s="46">
        <v>61</v>
      </c>
      <c r="H307" s="46">
        <v>390</v>
      </c>
      <c r="I307" s="40">
        <v>5057</v>
      </c>
      <c r="J307" s="40">
        <v>972</v>
      </c>
      <c r="K307" s="40">
        <v>2807</v>
      </c>
      <c r="L307" s="40">
        <v>30</v>
      </c>
      <c r="M307" s="40">
        <v>371</v>
      </c>
      <c r="N307" s="40">
        <v>373</v>
      </c>
      <c r="O307" s="40">
        <v>1650</v>
      </c>
      <c r="P307" s="40">
        <v>209</v>
      </c>
      <c r="Q307" s="40">
        <v>209</v>
      </c>
      <c r="R307" s="40">
        <v>12907</v>
      </c>
      <c r="S307" s="40">
        <v>2208</v>
      </c>
      <c r="T307" s="40">
        <v>2528</v>
      </c>
      <c r="U307" s="40">
        <v>730</v>
      </c>
      <c r="V307" s="40">
        <v>-96</v>
      </c>
      <c r="W307" s="45">
        <v>803882</v>
      </c>
      <c r="X307" s="44"/>
      <c r="Y307" s="44">
        <v>56773.1</v>
      </c>
      <c r="Z307" s="47">
        <v>49159</v>
      </c>
    </row>
    <row r="308" spans="1:665" s="45" customFormat="1" x14ac:dyDescent="0.3">
      <c r="A308" s="38" t="s">
        <v>745</v>
      </c>
      <c r="B308" s="39">
        <v>2021</v>
      </c>
      <c r="C308" s="40">
        <v>52415625</v>
      </c>
      <c r="D308" s="46">
        <v>21829</v>
      </c>
      <c r="E308" s="46">
        <v>624</v>
      </c>
      <c r="F308" s="46">
        <v>1275</v>
      </c>
      <c r="G308" s="46">
        <v>59</v>
      </c>
      <c r="H308" s="46">
        <v>349</v>
      </c>
      <c r="I308" s="40">
        <v>5722</v>
      </c>
      <c r="J308" s="40">
        <v>1063</v>
      </c>
      <c r="K308" s="40">
        <v>3796</v>
      </c>
      <c r="L308" s="40">
        <v>51</v>
      </c>
      <c r="M308" s="40">
        <v>388</v>
      </c>
      <c r="N308" s="40">
        <v>425</v>
      </c>
      <c r="O308" s="40">
        <v>1768</v>
      </c>
      <c r="P308" s="40">
        <v>235</v>
      </c>
      <c r="Q308" s="40">
        <v>238</v>
      </c>
      <c r="R308" s="40">
        <v>14521</v>
      </c>
      <c r="S308" s="40">
        <v>2772</v>
      </c>
      <c r="T308" s="40">
        <v>3171</v>
      </c>
      <c r="U308" s="40">
        <v>835</v>
      </c>
      <c r="V308" s="40">
        <v>-199</v>
      </c>
      <c r="W308" s="45">
        <v>826133</v>
      </c>
      <c r="X308" s="44"/>
      <c r="Y308" s="44">
        <v>56773.1</v>
      </c>
      <c r="Z308" s="47">
        <v>58924</v>
      </c>
    </row>
    <row r="309" spans="1:665" s="45" customFormat="1" x14ac:dyDescent="0.3">
      <c r="A309" s="38" t="s">
        <v>745</v>
      </c>
      <c r="B309" s="39">
        <v>2022</v>
      </c>
      <c r="C309" s="40">
        <v>46741484</v>
      </c>
      <c r="D309" s="46">
        <v>23296</v>
      </c>
      <c r="E309" s="46">
        <v>809</v>
      </c>
      <c r="F309" s="46">
        <v>1285</v>
      </c>
      <c r="G309" s="46">
        <v>55</v>
      </c>
      <c r="H309" s="46">
        <v>309</v>
      </c>
      <c r="I309" s="40">
        <v>6429</v>
      </c>
      <c r="J309" s="40">
        <v>1197</v>
      </c>
      <c r="K309" s="40">
        <v>4732</v>
      </c>
      <c r="L309" s="40">
        <v>56</v>
      </c>
      <c r="M309" s="40">
        <v>428</v>
      </c>
      <c r="N309" s="40">
        <v>500</v>
      </c>
      <c r="O309" s="40">
        <v>1900</v>
      </c>
      <c r="P309" s="40">
        <v>246</v>
      </c>
      <c r="Q309" s="40">
        <v>294</v>
      </c>
      <c r="R309" s="40">
        <v>13628</v>
      </c>
      <c r="S309" s="40">
        <v>2926</v>
      </c>
      <c r="T309" s="40">
        <v>3130</v>
      </c>
      <c r="U309" s="40">
        <v>942</v>
      </c>
      <c r="V309" s="40">
        <v>-214</v>
      </c>
      <c r="W309" s="45">
        <v>848385</v>
      </c>
      <c r="X309" s="45">
        <v>142928</v>
      </c>
      <c r="Y309" s="44">
        <v>56773.1</v>
      </c>
      <c r="Z309" s="47">
        <v>61950</v>
      </c>
    </row>
    <row r="310" spans="1:665" s="45" customFormat="1" ht="14.5" x14ac:dyDescent="0.35">
      <c r="A310" s="38" t="s">
        <v>745</v>
      </c>
      <c r="B310" s="39">
        <v>2023</v>
      </c>
      <c r="C310" s="40">
        <v>35617376.333333299</v>
      </c>
      <c r="D310" s="45">
        <v>23449</v>
      </c>
      <c r="E310" s="45">
        <v>700</v>
      </c>
      <c r="F310" s="45">
        <v>1387</v>
      </c>
      <c r="G310" s="45">
        <v>112</v>
      </c>
      <c r="H310" s="45">
        <v>315</v>
      </c>
      <c r="I310" s="45">
        <v>6766</v>
      </c>
      <c r="J310" s="45">
        <v>1329</v>
      </c>
      <c r="K310" s="45">
        <v>5605</v>
      </c>
      <c r="L310" s="45">
        <v>73</v>
      </c>
      <c r="M310" s="45">
        <v>453</v>
      </c>
      <c r="N310" s="15">
        <v>594</v>
      </c>
      <c r="O310" s="50">
        <v>2068</v>
      </c>
      <c r="P310" s="15">
        <v>270</v>
      </c>
      <c r="Q310" s="15">
        <v>348</v>
      </c>
      <c r="R310" s="50">
        <v>17059</v>
      </c>
      <c r="S310" s="50">
        <v>3891</v>
      </c>
      <c r="T310" s="50">
        <v>3780</v>
      </c>
      <c r="U310" s="50">
        <v>1048</v>
      </c>
      <c r="V310" s="15">
        <v>-140</v>
      </c>
      <c r="W310" s="45">
        <v>870636</v>
      </c>
      <c r="X310" s="44"/>
      <c r="Y310" s="44">
        <v>56773.1</v>
      </c>
      <c r="Z310" s="47"/>
    </row>
    <row r="311" spans="1:665" s="45" customFormat="1" ht="14.5" x14ac:dyDescent="0.35">
      <c r="A311" s="38" t="s">
        <v>746</v>
      </c>
      <c r="B311" s="39">
        <v>2017</v>
      </c>
      <c r="C311" s="40">
        <v>88411177</v>
      </c>
      <c r="D311" s="41">
        <v>18319.201094993488</v>
      </c>
      <c r="E311" s="41">
        <v>3154.6220072970532</v>
      </c>
      <c r="F311" s="41">
        <v>772.07661645436815</v>
      </c>
      <c r="G311" s="41">
        <v>3389.2794126784434</v>
      </c>
      <c r="H311" s="41">
        <v>329.78781750196003</v>
      </c>
      <c r="I311" s="41">
        <v>433.86545343733985</v>
      </c>
      <c r="J311" s="41">
        <v>2130.4033173135899</v>
      </c>
      <c r="K311" s="41">
        <v>7357.3978455567149</v>
      </c>
      <c r="L311" s="41">
        <v>269.03721997238694</v>
      </c>
      <c r="M311" s="41">
        <v>623.73308026164932</v>
      </c>
      <c r="N311" s="41">
        <v>445.60598424457748</v>
      </c>
      <c r="O311" s="41">
        <v>1513.9113320306874</v>
      </c>
      <c r="P311" s="41">
        <v>321.27218513570119</v>
      </c>
      <c r="Q311" s="41">
        <v>289.97334116330967</v>
      </c>
      <c r="R311" s="41">
        <v>6405.9022729545031</v>
      </c>
      <c r="S311" s="41">
        <v>4692.3133324906903</v>
      </c>
      <c r="T311" s="41">
        <v>1540.6505905583067</v>
      </c>
      <c r="U311" s="41">
        <v>761.85917205805106</v>
      </c>
      <c r="V311" s="42">
        <v>-114.50172710268373</v>
      </c>
      <c r="W311" s="43"/>
      <c r="X311" s="44"/>
      <c r="Y311" s="44">
        <v>9123.2000000000007</v>
      </c>
      <c r="Z311" s="44">
        <v>52636.390349000125</v>
      </c>
      <c r="XV311" s="86">
        <v>1614000</v>
      </c>
      <c r="XW311" s="86">
        <v>12004540</v>
      </c>
      <c r="XX311" s="86">
        <v>4429550</v>
      </c>
      <c r="XY311" s="86">
        <v>441000</v>
      </c>
      <c r="XZ311" s="86">
        <v>5629176</v>
      </c>
      <c r="YA311" s="86">
        <v>23109860</v>
      </c>
      <c r="YB311" s="86">
        <v>7563380</v>
      </c>
      <c r="YC311" s="86"/>
      <c r="YD311" s="86">
        <v>306990</v>
      </c>
      <c r="YE311" s="86">
        <v>810913</v>
      </c>
      <c r="YF311" s="86">
        <v>4512920</v>
      </c>
      <c r="YG311" s="86">
        <v>1613210</v>
      </c>
      <c r="YH311" s="86">
        <v>115000</v>
      </c>
      <c r="YI311" s="86">
        <v>7574701</v>
      </c>
      <c r="YJ311" s="86">
        <v>85950</v>
      </c>
      <c r="YK311" s="86">
        <v>16582041</v>
      </c>
      <c r="YL311" s="86">
        <v>726815</v>
      </c>
      <c r="YM311" s="86">
        <v>323815</v>
      </c>
      <c r="YN311" s="86">
        <v>532670</v>
      </c>
      <c r="YO311" s="86">
        <v>766670</v>
      </c>
    </row>
    <row r="312" spans="1:665" s="45" customFormat="1" ht="14.5" x14ac:dyDescent="0.35">
      <c r="A312" s="38" t="s">
        <v>746</v>
      </c>
      <c r="B312" s="39">
        <v>2018</v>
      </c>
      <c r="C312" s="40">
        <v>118824134</v>
      </c>
      <c r="D312" s="41">
        <v>20301.392195182932</v>
      </c>
      <c r="E312" s="41">
        <v>2955.653013678434</v>
      </c>
      <c r="F312" s="41">
        <v>850.34156637657952</v>
      </c>
      <c r="G312" s="41">
        <v>4235.4865370189837</v>
      </c>
      <c r="H312" s="41">
        <v>334.42586523188407</v>
      </c>
      <c r="I312" s="41">
        <v>515.4884831837752</v>
      </c>
      <c r="J312" s="41">
        <v>2294.7382481179784</v>
      </c>
      <c r="K312" s="41">
        <v>9917.0834781562207</v>
      </c>
      <c r="L312" s="41">
        <v>315.63818022612168</v>
      </c>
      <c r="M312" s="41">
        <v>663.94646117606408</v>
      </c>
      <c r="N312" s="41">
        <v>241.19302077972495</v>
      </c>
      <c r="O312" s="41">
        <v>1681.7693719625829</v>
      </c>
      <c r="P312" s="41">
        <v>341.33885082385495</v>
      </c>
      <c r="Q312" s="41">
        <v>338.88617500121268</v>
      </c>
      <c r="R312" s="41">
        <v>7149.3061600533738</v>
      </c>
      <c r="S312" s="41">
        <v>5253.355879405648</v>
      </c>
      <c r="T312" s="41">
        <v>1574.6844147344532</v>
      </c>
      <c r="U312" s="41">
        <v>838.82117384981905</v>
      </c>
      <c r="V312" s="42">
        <v>-154.54853918663136</v>
      </c>
      <c r="W312" s="43"/>
      <c r="X312" s="44"/>
      <c r="Y312" s="44">
        <v>9123.2000000000007</v>
      </c>
      <c r="Z312" s="44">
        <v>59649.000535773019</v>
      </c>
      <c r="XV312" s="87">
        <v>1571900</v>
      </c>
      <c r="XW312" s="87">
        <v>17122965</v>
      </c>
      <c r="XX312" s="86">
        <v>2774345</v>
      </c>
      <c r="XY312" s="87">
        <v>384000</v>
      </c>
      <c r="XZ312" s="87">
        <v>4873569</v>
      </c>
      <c r="YA312" s="87">
        <v>29688130</v>
      </c>
      <c r="YB312" s="87">
        <v>6699297</v>
      </c>
      <c r="YC312" s="87">
        <v>1029307.35</v>
      </c>
      <c r="YD312" s="87">
        <v>578670</v>
      </c>
      <c r="YE312" s="87">
        <v>801320</v>
      </c>
      <c r="YF312" s="87">
        <v>3753020</v>
      </c>
      <c r="YG312" s="87">
        <v>1359230</v>
      </c>
      <c r="YH312" s="87">
        <v>150000</v>
      </c>
      <c r="YI312" s="87">
        <v>11465982.25</v>
      </c>
      <c r="YJ312" s="87">
        <v>72500</v>
      </c>
      <c r="YK312" s="87">
        <v>25417783.399999999</v>
      </c>
      <c r="YL312" s="87">
        <v>9160715</v>
      </c>
      <c r="YM312" s="86">
        <v>301980</v>
      </c>
      <c r="YN312" s="87">
        <v>804230</v>
      </c>
      <c r="YO312" s="86">
        <v>820495</v>
      </c>
    </row>
    <row r="313" spans="1:665" s="45" customFormat="1" ht="14.5" x14ac:dyDescent="0.3">
      <c r="A313" s="38" t="s">
        <v>746</v>
      </c>
      <c r="B313" s="39">
        <v>2019</v>
      </c>
      <c r="C313" s="40">
        <v>102684996</v>
      </c>
      <c r="D313" s="46"/>
      <c r="E313" s="46"/>
      <c r="F313" s="46"/>
      <c r="G313" s="46"/>
      <c r="H313" s="46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5">
        <v>621241</v>
      </c>
      <c r="X313" s="44"/>
      <c r="Y313" s="44">
        <v>9123.2000000000007</v>
      </c>
      <c r="Z313" s="47">
        <v>68349</v>
      </c>
      <c r="XV313" s="86">
        <v>2618680</v>
      </c>
      <c r="XW313" s="86">
        <v>13037213.65</v>
      </c>
      <c r="XX313" s="86">
        <v>1058695</v>
      </c>
      <c r="XY313" s="86">
        <v>508386</v>
      </c>
      <c r="XZ313" s="86">
        <v>3808972</v>
      </c>
      <c r="YA313" s="86">
        <v>20445954.25</v>
      </c>
      <c r="YB313" s="86">
        <v>2809180</v>
      </c>
      <c r="YC313" s="86">
        <v>3807175.1</v>
      </c>
      <c r="YD313" s="86">
        <v>3024920</v>
      </c>
      <c r="YE313" s="86">
        <v>502575</v>
      </c>
      <c r="YF313" s="86">
        <v>2128625</v>
      </c>
      <c r="YG313" s="86">
        <v>485500</v>
      </c>
      <c r="YH313" s="86">
        <v>389780</v>
      </c>
      <c r="YI313" s="86">
        <v>6281154.0499999998</v>
      </c>
      <c r="YJ313" s="86">
        <v>35000</v>
      </c>
      <c r="YK313" s="86">
        <v>41755000</v>
      </c>
      <c r="YL313" s="86">
        <v>3041392.95</v>
      </c>
      <c r="YM313" s="86">
        <v>274570</v>
      </c>
      <c r="YN313" s="86">
        <v>144150</v>
      </c>
      <c r="YO313" s="86">
        <v>989706</v>
      </c>
    </row>
    <row r="314" spans="1:665" s="45" customFormat="1" ht="14.5" x14ac:dyDescent="0.3">
      <c r="A314" s="38" t="s">
        <v>746</v>
      </c>
      <c r="B314" s="39">
        <v>2020</v>
      </c>
      <c r="C314" s="40">
        <v>110441691</v>
      </c>
      <c r="D314" s="46">
        <v>35613</v>
      </c>
      <c r="E314" s="46">
        <v>3294</v>
      </c>
      <c r="F314" s="46">
        <v>939</v>
      </c>
      <c r="G314" s="46">
        <v>3438</v>
      </c>
      <c r="H314" s="46">
        <v>323</v>
      </c>
      <c r="I314" s="40">
        <v>710</v>
      </c>
      <c r="J314" s="40">
        <v>2651</v>
      </c>
      <c r="K314" s="40">
        <v>11425</v>
      </c>
      <c r="L314" s="40">
        <v>246</v>
      </c>
      <c r="M314" s="40">
        <v>779</v>
      </c>
      <c r="N314" s="40">
        <v>260</v>
      </c>
      <c r="O314" s="40">
        <v>1897</v>
      </c>
      <c r="P314" s="40">
        <v>332</v>
      </c>
      <c r="Q314" s="40">
        <v>322</v>
      </c>
      <c r="R314" s="40">
        <v>8947</v>
      </c>
      <c r="S314" s="40">
        <v>5375</v>
      </c>
      <c r="T314" s="40">
        <v>2249</v>
      </c>
      <c r="U314" s="40">
        <v>766</v>
      </c>
      <c r="V314" s="40">
        <v>-148</v>
      </c>
      <c r="W314" s="45">
        <v>631122</v>
      </c>
      <c r="X314" s="44"/>
      <c r="Y314" s="44">
        <v>9123.2000000000007</v>
      </c>
      <c r="Z314" s="47">
        <v>79417</v>
      </c>
      <c r="XV314" s="86">
        <v>1098800</v>
      </c>
      <c r="XW314" s="86">
        <v>11474472.25</v>
      </c>
      <c r="XX314" s="86">
        <v>1449310</v>
      </c>
      <c r="XY314" s="86">
        <v>2589320</v>
      </c>
      <c r="XZ314" s="86">
        <v>3796028</v>
      </c>
      <c r="YA314" s="86">
        <v>18969563</v>
      </c>
      <c r="YB314" s="86">
        <v>3002065</v>
      </c>
      <c r="YC314" s="86">
        <v>1883913</v>
      </c>
      <c r="YD314" s="86">
        <v>3033510.15</v>
      </c>
      <c r="YE314" s="86">
        <v>667480</v>
      </c>
      <c r="YF314" s="86">
        <v>4815810</v>
      </c>
      <c r="YG314" s="86">
        <v>1038300</v>
      </c>
      <c r="YH314" s="86">
        <v>77500</v>
      </c>
      <c r="YI314" s="86">
        <v>1697505.67</v>
      </c>
      <c r="YJ314" s="86">
        <v>59140</v>
      </c>
      <c r="YK314" s="86">
        <v>41968000</v>
      </c>
      <c r="YL314" s="86">
        <v>11164824.08</v>
      </c>
      <c r="YM314" s="86">
        <v>253930</v>
      </c>
      <c r="YN314" s="86">
        <v>164650</v>
      </c>
      <c r="YO314" s="86">
        <v>1630788.85</v>
      </c>
    </row>
    <row r="315" spans="1:665" s="45" customFormat="1" ht="14.5" x14ac:dyDescent="0.3">
      <c r="A315" s="38" t="s">
        <v>746</v>
      </c>
      <c r="B315" s="39">
        <v>2021</v>
      </c>
      <c r="C315" s="40">
        <v>113444832</v>
      </c>
      <c r="D315" s="46">
        <v>30918</v>
      </c>
      <c r="E315" s="46">
        <v>3935</v>
      </c>
      <c r="F315" s="46">
        <v>940</v>
      </c>
      <c r="G315" s="46">
        <v>6234</v>
      </c>
      <c r="H315" s="46">
        <v>318</v>
      </c>
      <c r="I315" s="40">
        <v>812</v>
      </c>
      <c r="J315" s="40">
        <v>2914</v>
      </c>
      <c r="K315" s="40">
        <v>13257</v>
      </c>
      <c r="L315" s="40">
        <v>422</v>
      </c>
      <c r="M315" s="40">
        <v>814</v>
      </c>
      <c r="N315" s="40">
        <v>310</v>
      </c>
      <c r="O315" s="40">
        <v>2027</v>
      </c>
      <c r="P315" s="40">
        <v>373</v>
      </c>
      <c r="Q315" s="40">
        <v>367</v>
      </c>
      <c r="R315" s="40">
        <v>10372</v>
      </c>
      <c r="S315" s="40">
        <v>6731</v>
      </c>
      <c r="T315" s="40">
        <v>2321</v>
      </c>
      <c r="U315" s="40">
        <v>871</v>
      </c>
      <c r="V315" s="40">
        <v>-119</v>
      </c>
      <c r="W315" s="45">
        <v>646190</v>
      </c>
      <c r="X315" s="44"/>
      <c r="Y315" s="44">
        <v>9123.2000000000007</v>
      </c>
      <c r="Z315" s="47">
        <v>83816</v>
      </c>
      <c r="XV315" s="88">
        <v>1437260</v>
      </c>
      <c r="XW315" s="88">
        <v>6425980</v>
      </c>
      <c r="XX315" s="88">
        <v>1235940</v>
      </c>
      <c r="XY315" s="88">
        <v>317120</v>
      </c>
      <c r="XZ315" s="88">
        <v>2116860</v>
      </c>
      <c r="YA315" s="88">
        <v>17883710.800000001</v>
      </c>
      <c r="YB315" s="88">
        <v>3179265</v>
      </c>
      <c r="YC315" s="88">
        <v>1911490</v>
      </c>
      <c r="YD315" s="88">
        <v>1006900</v>
      </c>
      <c r="YE315" s="88">
        <v>583160</v>
      </c>
      <c r="YF315" s="88">
        <v>3337210</v>
      </c>
      <c r="YG315" s="88">
        <v>739300</v>
      </c>
      <c r="YH315" s="88">
        <v>355440</v>
      </c>
      <c r="YI315" s="88">
        <v>2993315.4</v>
      </c>
      <c r="YJ315" s="88">
        <v>2014275</v>
      </c>
      <c r="YK315" s="88">
        <v>57572500</v>
      </c>
      <c r="YL315" s="88">
        <v>9677575.8000000007</v>
      </c>
      <c r="YM315" s="88">
        <v>363850</v>
      </c>
      <c r="YN315" s="88"/>
      <c r="YO315" s="88">
        <v>230100</v>
      </c>
    </row>
    <row r="316" spans="1:665" s="45" customFormat="1" ht="14.5" x14ac:dyDescent="0.3">
      <c r="A316" s="38" t="s">
        <v>746</v>
      </c>
      <c r="B316" s="39">
        <v>2022</v>
      </c>
      <c r="C316" s="40">
        <v>128695650</v>
      </c>
      <c r="D316" s="46">
        <v>28555</v>
      </c>
      <c r="E316" s="46">
        <v>5100</v>
      </c>
      <c r="F316" s="46">
        <v>959</v>
      </c>
      <c r="G316" s="46">
        <v>4982</v>
      </c>
      <c r="H316" s="46">
        <v>294</v>
      </c>
      <c r="I316" s="40">
        <v>904</v>
      </c>
      <c r="J316" s="40">
        <v>3167</v>
      </c>
      <c r="K316" s="40">
        <v>17343</v>
      </c>
      <c r="L316" s="40">
        <v>465</v>
      </c>
      <c r="M316" s="40">
        <v>899</v>
      </c>
      <c r="N316" s="40">
        <v>365</v>
      </c>
      <c r="O316" s="40">
        <v>2184</v>
      </c>
      <c r="P316" s="40">
        <v>391</v>
      </c>
      <c r="Q316" s="40">
        <v>454</v>
      </c>
      <c r="R316" s="40">
        <v>8539</v>
      </c>
      <c r="S316" s="40">
        <v>7078</v>
      </c>
      <c r="T316" s="40">
        <v>2464</v>
      </c>
      <c r="U316" s="40">
        <v>972</v>
      </c>
      <c r="V316" s="40">
        <v>-130</v>
      </c>
      <c r="W316" s="45">
        <v>661258</v>
      </c>
      <c r="X316" s="45">
        <v>211119</v>
      </c>
      <c r="Y316" s="44">
        <v>9123.2000000000007</v>
      </c>
      <c r="Z316" s="47">
        <v>84985</v>
      </c>
      <c r="XV316" s="86">
        <v>2183650</v>
      </c>
      <c r="XW316" s="86">
        <v>7743100</v>
      </c>
      <c r="XX316" s="86">
        <v>1218355</v>
      </c>
      <c r="XY316" s="86">
        <v>203000</v>
      </c>
      <c r="XZ316" s="86">
        <v>2988540</v>
      </c>
      <c r="YA316" s="86">
        <v>16645030</v>
      </c>
      <c r="YB316" s="86">
        <v>4503840</v>
      </c>
      <c r="YC316" s="86">
        <v>1269876</v>
      </c>
      <c r="YD316" s="86">
        <v>822200</v>
      </c>
      <c r="YE316" s="86">
        <v>381930</v>
      </c>
      <c r="YF316" s="86">
        <v>2184260</v>
      </c>
      <c r="YG316" s="86">
        <v>1129350</v>
      </c>
      <c r="YH316" s="86">
        <v>126000</v>
      </c>
      <c r="YI316" s="86">
        <v>347924.8</v>
      </c>
      <c r="YJ316" s="86">
        <v>149200</v>
      </c>
      <c r="YK316" s="86">
        <v>79035500</v>
      </c>
      <c r="YL316" s="86">
        <v>6917344.1500000004</v>
      </c>
      <c r="YM316" s="86">
        <v>471200</v>
      </c>
      <c r="YN316" s="86" t="s">
        <v>19</v>
      </c>
      <c r="YO316" s="86">
        <v>370850</v>
      </c>
    </row>
    <row r="317" spans="1:665" s="45" customFormat="1" ht="14.5" x14ac:dyDescent="0.35">
      <c r="A317" s="89" t="s">
        <v>746</v>
      </c>
      <c r="B317" s="90">
        <v>2023</v>
      </c>
      <c r="C317" s="40">
        <v>143946468</v>
      </c>
      <c r="D317" s="50">
        <v>42325</v>
      </c>
      <c r="E317" s="50">
        <v>4417</v>
      </c>
      <c r="F317" s="46"/>
      <c r="G317" s="50">
        <v>1105</v>
      </c>
      <c r="H317" s="50">
        <v>5128</v>
      </c>
      <c r="I317" s="15">
        <v>309</v>
      </c>
      <c r="J317" s="50">
        <v>3431</v>
      </c>
      <c r="K317" s="50">
        <v>19829</v>
      </c>
      <c r="L317" s="15">
        <v>602</v>
      </c>
      <c r="M317" s="15">
        <v>951</v>
      </c>
      <c r="N317" s="15">
        <v>433</v>
      </c>
      <c r="O317" s="50">
        <v>2367</v>
      </c>
      <c r="P317" s="15">
        <v>429</v>
      </c>
      <c r="Q317" s="15">
        <v>537</v>
      </c>
      <c r="R317" s="50">
        <v>11171</v>
      </c>
      <c r="S317" s="50">
        <v>7547</v>
      </c>
      <c r="T317" s="50">
        <v>2087</v>
      </c>
      <c r="U317" s="50">
        <v>1074</v>
      </c>
      <c r="V317" s="15">
        <v>-222</v>
      </c>
      <c r="W317" s="45">
        <v>676326</v>
      </c>
      <c r="X317" s="91"/>
      <c r="Y317" s="92">
        <v>9123.2000000000007</v>
      </c>
      <c r="Z317" s="91"/>
      <c r="XV317" s="88">
        <v>3426600</v>
      </c>
      <c r="XW317" s="88">
        <v>7490122</v>
      </c>
      <c r="XX317" s="88">
        <v>2368760</v>
      </c>
      <c r="XY317" s="88">
        <v>80000</v>
      </c>
      <c r="XZ317" s="88">
        <v>4571186</v>
      </c>
      <c r="YA317" s="88">
        <v>18007410</v>
      </c>
      <c r="YB317" s="88">
        <v>6234820</v>
      </c>
      <c r="YC317" s="88">
        <v>1350876</v>
      </c>
      <c r="YD317" s="88">
        <v>2803000</v>
      </c>
      <c r="YE317" s="88">
        <v>741910</v>
      </c>
      <c r="YF317" s="88">
        <v>6115130</v>
      </c>
      <c r="YG317" s="88">
        <v>970600</v>
      </c>
      <c r="YH317" s="88">
        <v>293000</v>
      </c>
      <c r="YI317" s="88">
        <v>1285742</v>
      </c>
      <c r="YJ317" s="88">
        <v>149000</v>
      </c>
      <c r="YK317" s="88">
        <v>119847000</v>
      </c>
      <c r="YL317" s="88">
        <v>8507755</v>
      </c>
      <c r="YM317" s="88">
        <v>326980</v>
      </c>
      <c r="YN317" s="88" t="s">
        <v>20</v>
      </c>
      <c r="YO317" s="88">
        <v>724810</v>
      </c>
    </row>
    <row r="318" spans="1:665" s="94" customFormat="1" x14ac:dyDescent="0.3">
      <c r="A318" s="93"/>
      <c r="B318" s="93"/>
      <c r="C318" s="93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93"/>
      <c r="X318" s="93"/>
      <c r="Y318" s="93"/>
      <c r="Z318" s="93"/>
      <c r="XV318" s="95"/>
      <c r="XW318" s="95"/>
      <c r="XX318" s="95"/>
      <c r="XY318" s="95"/>
      <c r="XZ318" s="95"/>
      <c r="YA318" s="95"/>
      <c r="YB318" s="95"/>
      <c r="YC318" s="95"/>
      <c r="YD318" s="95"/>
      <c r="YE318" s="95"/>
      <c r="YF318" s="95"/>
      <c r="YG318" s="95"/>
      <c r="YH318" s="95"/>
      <c r="YI318" s="95"/>
      <c r="YJ318" s="95"/>
      <c r="YK318" s="95"/>
      <c r="YL318" s="95"/>
      <c r="YM318" s="95"/>
      <c r="YN318" s="95"/>
      <c r="YO318" s="95"/>
    </row>
    <row r="319" spans="1:665" x14ac:dyDescent="0.3">
      <c r="A319" s="93"/>
      <c r="B319" s="93"/>
      <c r="C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AADD-D9BF-46DF-A31F-ED1E88028E12}">
  <dimension ref="A2:BJ34"/>
  <sheetViews>
    <sheetView workbookViewId="0">
      <selection activeCell="F4" sqref="F4"/>
    </sheetView>
  </sheetViews>
  <sheetFormatPr defaultRowHeight="14.5" x14ac:dyDescent="0.35"/>
  <cols>
    <col min="1" max="1" width="13.81640625" customWidth="1"/>
    <col min="3" max="3" width="13.54296875" customWidth="1"/>
    <col min="4" max="4" width="12.7265625" customWidth="1"/>
  </cols>
  <sheetData>
    <row r="2" spans="1:51" x14ac:dyDescent="0.35">
      <c r="A2" t="s">
        <v>22</v>
      </c>
      <c r="B2" t="s">
        <v>786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21</v>
      </c>
      <c r="AA2" t="s">
        <v>0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I2" t="s">
        <v>8</v>
      </c>
      <c r="AJ2" t="s">
        <v>9</v>
      </c>
      <c r="AK2" t="s">
        <v>10</v>
      </c>
      <c r="AL2" t="s">
        <v>11</v>
      </c>
      <c r="AM2" t="s">
        <v>12</v>
      </c>
      <c r="AN2" t="s">
        <v>13</v>
      </c>
      <c r="AO2" t="s">
        <v>14</v>
      </c>
      <c r="AP2" t="s">
        <v>15</v>
      </c>
      <c r="AQ2" t="s">
        <v>16</v>
      </c>
      <c r="AR2" t="s">
        <v>17</v>
      </c>
      <c r="AS2" t="s">
        <v>18</v>
      </c>
      <c r="AT2" t="s">
        <v>21</v>
      </c>
    </row>
    <row r="3" spans="1:51" x14ac:dyDescent="0.35">
      <c r="A3" t="s">
        <v>746</v>
      </c>
      <c r="B3">
        <v>2017</v>
      </c>
      <c r="C3" s="128">
        <v>1.8187308794506973E-2</v>
      </c>
      <c r="D3" s="128">
        <v>0.13527278557373651</v>
      </c>
      <c r="E3" s="128">
        <v>4.9914246388295141E-2</v>
      </c>
      <c r="F3" s="128">
        <v>4.9693947821422401E-3</v>
      </c>
      <c r="G3" s="128">
        <v>6.343219465342477E-2</v>
      </c>
      <c r="H3" s="128">
        <v>0.26041273854883823</v>
      </c>
      <c r="I3" s="128">
        <v>8.5227712261584973E-2</v>
      </c>
      <c r="J3" s="128">
        <v>0</v>
      </c>
      <c r="K3" s="128">
        <v>3.4593072656912611E-3</v>
      </c>
      <c r="L3" s="128">
        <v>9.1377479160347167E-3</v>
      </c>
      <c r="M3" s="128">
        <v>5.0853698639966798E-2</v>
      </c>
      <c r="N3" s="128">
        <v>1.8178406704080913E-2</v>
      </c>
      <c r="O3" s="128">
        <v>1.2958739227808562E-3</v>
      </c>
      <c r="P3" s="128">
        <v>8.5355282597931084E-2</v>
      </c>
      <c r="Q3" s="128">
        <v>9.6852490141751822E-4</v>
      </c>
      <c r="R3" s="128">
        <v>0.18685421320333037</v>
      </c>
      <c r="S3" s="128">
        <v>8.1900922190084168E-3</v>
      </c>
      <c r="T3" s="128">
        <v>3.6488992548285473E-3</v>
      </c>
      <c r="U3" s="128">
        <v>6.0023753256319883E-3</v>
      </c>
      <c r="V3" s="128">
        <v>8.6391970467686874E-3</v>
      </c>
      <c r="AA3">
        <v>0.11569154369362815</v>
      </c>
      <c r="AB3">
        <v>0.15942624454073839</v>
      </c>
      <c r="AC3">
        <v>0.30475154549842087</v>
      </c>
      <c r="AD3">
        <v>9.7505409228654832E-2</v>
      </c>
      <c r="AE3">
        <v>0.20260253881945187</v>
      </c>
      <c r="AF3">
        <v>0.15965398683026455</v>
      </c>
      <c r="AG3">
        <v>0.22250570850121795</v>
      </c>
      <c r="AH3">
        <v>0</v>
      </c>
      <c r="AI3">
        <v>2.6519087542804399E-2</v>
      </c>
      <c r="AJ3">
        <v>0.18063287541365133</v>
      </c>
      <c r="AK3">
        <v>0.16809789557296492</v>
      </c>
      <c r="AL3">
        <v>0.21991850578488961</v>
      </c>
      <c r="AM3">
        <v>7.6324731867898482E-2</v>
      </c>
      <c r="AN3">
        <v>0.23935483691422868</v>
      </c>
      <c r="AO3">
        <v>3.3507922801176579E-2</v>
      </c>
      <c r="AP3">
        <v>4.3388286659575219E-2</v>
      </c>
      <c r="AQ3">
        <v>1.4773737006635864E-2</v>
      </c>
      <c r="AR3">
        <v>0.13979687651775982</v>
      </c>
      <c r="AS3">
        <v>0.32367381661299144</v>
      </c>
      <c r="AT3">
        <v>0.13855265293126096</v>
      </c>
    </row>
    <row r="4" spans="1:51" x14ac:dyDescent="0.35">
      <c r="A4" t="s">
        <v>746</v>
      </c>
      <c r="B4">
        <v>2018</v>
      </c>
      <c r="C4" s="128">
        <v>1.3228203492570558E-2</v>
      </c>
      <c r="D4" s="128">
        <v>0.14409699434834494</v>
      </c>
      <c r="E4" s="128">
        <v>2.3347286862138598E-2</v>
      </c>
      <c r="F4" s="128">
        <v>3.2315224512673162E-3</v>
      </c>
      <c r="G4" s="128">
        <v>4.1013144899219797E-2</v>
      </c>
      <c r="H4" s="128">
        <v>0.24983817351860088</v>
      </c>
      <c r="I4" s="128">
        <v>5.6377418393770251E-2</v>
      </c>
      <c r="J4" s="128">
        <v>8.6620567989048568E-3</v>
      </c>
      <c r="K4" s="128">
        <v>4.8697528564449416E-3</v>
      </c>
      <c r="L4" s="128">
        <v>6.7434467985664727E-3</v>
      </c>
      <c r="M4" s="128">
        <v>3.1583251015768914E-2</v>
      </c>
      <c r="N4" s="128">
        <v>1.1438495472489776E-2</v>
      </c>
      <c r="O4" s="128">
        <v>1.2623134575262952E-3</v>
      </c>
      <c r="P4" s="128">
        <v>9.6491091319550873E-2</v>
      </c>
      <c r="Q4" s="128">
        <v>6.1011817113770935E-4</v>
      </c>
      <c r="R4" s="128">
        <v>0.21390140030872315</v>
      </c>
      <c r="S4" s="128">
        <v>7.7091292167086642E-2</v>
      </c>
      <c r="T4" s="128">
        <v>2.5412894526919377E-3</v>
      </c>
      <c r="U4" s="128">
        <v>6.767935679642483E-3</v>
      </c>
      <c r="V4" s="128">
        <v>6.9048125355535847E-3</v>
      </c>
      <c r="AA4">
        <v>0.11267381507559733</v>
      </c>
      <c r="AB4">
        <v>0.22740146689106824</v>
      </c>
      <c r="AC4">
        <v>0.19087399995390422</v>
      </c>
      <c r="AD4">
        <v>8.4902669260325289E-2</v>
      </c>
      <c r="AE4">
        <v>0.17540710265796935</v>
      </c>
      <c r="AF4">
        <v>0.20509982821337655</v>
      </c>
      <c r="AG4">
        <v>0.19708540698009144</v>
      </c>
      <c r="AH4">
        <v>9.147254184395677E-2</v>
      </c>
      <c r="AI4">
        <v>4.9987948755316529E-2</v>
      </c>
      <c r="AJ4">
        <v>0.17849601094872952</v>
      </c>
      <c r="AK4">
        <v>0.1397930306859525</v>
      </c>
      <c r="AL4">
        <v>0.18529505186429263</v>
      </c>
      <c r="AM4">
        <v>9.9553998088563231E-2</v>
      </c>
      <c r="AN4">
        <v>0.36231638866143906</v>
      </c>
      <c r="AO4">
        <v>2.8264390960852846E-2</v>
      </c>
      <c r="AP4">
        <v>6.6507740055050668E-2</v>
      </c>
      <c r="AQ4">
        <v>0.18620693601913041</v>
      </c>
      <c r="AR4">
        <v>0.13037030641209674</v>
      </c>
      <c r="AS4">
        <v>0.4886856656741812</v>
      </c>
      <c r="AT4">
        <v>0.1482799104788696</v>
      </c>
    </row>
    <row r="5" spans="1:51" x14ac:dyDescent="0.35">
      <c r="A5" t="s">
        <v>746</v>
      </c>
      <c r="B5">
        <v>2019</v>
      </c>
      <c r="C5" s="128">
        <v>2.4440152942189156E-2</v>
      </c>
      <c r="D5" s="128">
        <v>0.12167637723814904</v>
      </c>
      <c r="E5" s="128">
        <v>9.8808054894568825E-3</v>
      </c>
      <c r="F5" s="128">
        <v>4.7447689651533504E-3</v>
      </c>
      <c r="G5" s="128">
        <v>3.5549153860920814E-2</v>
      </c>
      <c r="H5" s="128">
        <v>0.19082218862900482</v>
      </c>
      <c r="I5" s="128">
        <v>2.6218090351680594E-2</v>
      </c>
      <c r="J5" s="128">
        <v>3.5532383384641993E-2</v>
      </c>
      <c r="K5" s="128">
        <v>2.8231592801673675E-2</v>
      </c>
      <c r="L5" s="128">
        <v>4.6905348744102808E-3</v>
      </c>
      <c r="M5" s="128">
        <v>1.9866467287552276E-2</v>
      </c>
      <c r="N5" s="128">
        <v>4.531173817890248E-3</v>
      </c>
      <c r="O5" s="128">
        <v>3.6378186009006406E-3</v>
      </c>
      <c r="P5" s="128">
        <v>5.8622040736344583E-2</v>
      </c>
      <c r="Q5" s="128">
        <v>3.2665516709816416E-4</v>
      </c>
      <c r="R5" s="128">
        <v>0.38969961434810985</v>
      </c>
      <c r="S5" s="128">
        <v>2.8385334922669384E-2</v>
      </c>
      <c r="T5" s="128">
        <v>2.5625631208612267E-3</v>
      </c>
      <c r="U5" s="128">
        <v>1.3453526382057246E-3</v>
      </c>
      <c r="V5" s="128">
        <v>9.236930823087304E-3</v>
      </c>
      <c r="AA5">
        <v>0.18770702084239788</v>
      </c>
      <c r="AB5">
        <v>0.17314066274049256</v>
      </c>
      <c r="AC5">
        <v>7.2837858803140434E-2</v>
      </c>
      <c r="AD5">
        <v>0.11240450107963472</v>
      </c>
      <c r="AE5">
        <v>0.13709065012218577</v>
      </c>
      <c r="AF5">
        <v>0.14125044939959358</v>
      </c>
      <c r="AG5">
        <v>8.264275842380675E-2</v>
      </c>
      <c r="AH5">
        <v>0.33833624489519126</v>
      </c>
      <c r="AI5">
        <v>0.26130531382123157</v>
      </c>
      <c r="AJ5">
        <v>0.11194982366914308</v>
      </c>
      <c r="AK5">
        <v>7.9287331254266083E-2</v>
      </c>
      <c r="AL5">
        <v>6.6185081023898876E-2</v>
      </c>
      <c r="AM5">
        <v>0.25869438249973453</v>
      </c>
      <c r="AN5">
        <v>0.19847972920263082</v>
      </c>
      <c r="AO5">
        <v>1.3644878394894476E-2</v>
      </c>
      <c r="AP5">
        <v>0.10925542335051296</v>
      </c>
      <c r="AQ5">
        <v>6.1821425778411869E-2</v>
      </c>
      <c r="AR5">
        <v>0.11853690652218493</v>
      </c>
      <c r="AS5">
        <v>8.759190617974115E-2</v>
      </c>
      <c r="AT5">
        <v>0.17885973355157572</v>
      </c>
    </row>
    <row r="6" spans="1:51" x14ac:dyDescent="0.35">
      <c r="A6" t="s">
        <v>746</v>
      </c>
      <c r="B6">
        <v>2020</v>
      </c>
      <c r="C6" s="128">
        <v>9.9138439323855649E-3</v>
      </c>
      <c r="D6" s="128">
        <v>0.10352760019383786</v>
      </c>
      <c r="E6" s="128">
        <v>1.3076295185334659E-2</v>
      </c>
      <c r="F6" s="128">
        <v>2.3361953377324891E-2</v>
      </c>
      <c r="G6" s="128">
        <v>3.4249389474850483E-2</v>
      </c>
      <c r="H6" s="128">
        <v>0.17115151715285376</v>
      </c>
      <c r="I6" s="128">
        <v>2.7085915439458565E-2</v>
      </c>
      <c r="J6" s="128">
        <v>1.6997469479607105E-2</v>
      </c>
      <c r="K6" s="128">
        <v>2.7369627042598765E-2</v>
      </c>
      <c r="L6" s="128">
        <v>6.0222902693745145E-3</v>
      </c>
      <c r="M6" s="128">
        <v>4.3450299188225086E-2</v>
      </c>
      <c r="N6" s="128">
        <v>9.3679870358535956E-3</v>
      </c>
      <c r="O6" s="128">
        <v>6.9923817324343037E-4</v>
      </c>
      <c r="P6" s="128">
        <v>1.5315622758208584E-2</v>
      </c>
      <c r="Q6" s="128">
        <v>5.3358639439505119E-4</v>
      </c>
      <c r="R6" s="128">
        <v>0.37865326006039079</v>
      </c>
      <c r="S6" s="128">
        <v>0.1007338218617221</v>
      </c>
      <c r="T6" s="128">
        <v>2.291065152667152E-3</v>
      </c>
      <c r="U6" s="128">
        <v>1.4855427770907202E-3</v>
      </c>
      <c r="V6" s="128">
        <v>1.4713675050577479E-2</v>
      </c>
      <c r="AA6">
        <v>7.8762000130457629E-2</v>
      </c>
      <c r="AB6">
        <v>0.15238668194736463</v>
      </c>
      <c r="AC6">
        <v>9.9712039012160678E-2</v>
      </c>
      <c r="AD6">
        <v>0.57250046762798301</v>
      </c>
      <c r="AE6">
        <v>0.13662477602933826</v>
      </c>
      <c r="AF6">
        <v>0.13105083117673036</v>
      </c>
      <c r="AG6">
        <v>8.8317207358576302E-2</v>
      </c>
      <c r="AH6">
        <v>0.16741968346274233</v>
      </c>
      <c r="AI6">
        <v>0.26204736711240006</v>
      </c>
      <c r="AJ6">
        <v>0.14868282008193726</v>
      </c>
      <c r="AK6">
        <v>0.17937998601332181</v>
      </c>
      <c r="AL6">
        <v>0.14154473661609518</v>
      </c>
      <c r="AM6">
        <v>5.1436232345757671E-2</v>
      </c>
      <c r="AN6">
        <v>5.3639898499469284E-2</v>
      </c>
      <c r="AO6">
        <v>2.3055945950687409E-2</v>
      </c>
      <c r="AP6">
        <v>0.1098127555304593</v>
      </c>
      <c r="AQ6">
        <v>0.22694382295807766</v>
      </c>
      <c r="AR6">
        <v>0.10962623984112765</v>
      </c>
      <c r="AS6">
        <v>0.10004861153308622</v>
      </c>
      <c r="AT6">
        <v>0.29471626845738086</v>
      </c>
    </row>
    <row r="7" spans="1:51" x14ac:dyDescent="0.35">
      <c r="A7" t="s">
        <v>746</v>
      </c>
      <c r="B7">
        <v>2021</v>
      </c>
      <c r="C7" s="128">
        <v>1.2676346174057067E-2</v>
      </c>
      <c r="D7" s="128">
        <v>5.6675860308898346E-2</v>
      </c>
      <c r="E7" s="128">
        <v>1.0900743978378367E-2</v>
      </c>
      <c r="F7" s="128">
        <v>2.7969350700061068E-3</v>
      </c>
      <c r="G7" s="128">
        <v>1.8670282455515663E-2</v>
      </c>
      <c r="H7" s="128">
        <v>0.15773075781523388</v>
      </c>
      <c r="I7" s="128">
        <v>2.8040482389451834E-2</v>
      </c>
      <c r="J7" s="128">
        <v>1.6858960068636394E-2</v>
      </c>
      <c r="K7" s="128">
        <v>8.8806569184824331E-3</v>
      </c>
      <c r="L7" s="128">
        <v>5.1433547408702108E-3</v>
      </c>
      <c r="M7" s="128">
        <v>2.9433525747272579E-2</v>
      </c>
      <c r="N7" s="128">
        <v>6.520478359155887E-3</v>
      </c>
      <c r="O7" s="128">
        <v>3.1349098173655732E-3</v>
      </c>
      <c r="P7" s="128">
        <v>2.6400444052249488E-2</v>
      </c>
      <c r="Q7" s="128">
        <v>1.7765503242105671E-2</v>
      </c>
      <c r="R7" s="128">
        <v>0.50777795256662017</v>
      </c>
      <c r="S7" s="128">
        <v>8.5354285909631705E-2</v>
      </c>
      <c r="T7" s="128">
        <v>3.2090843378586088E-3</v>
      </c>
      <c r="U7" s="128">
        <v>0</v>
      </c>
      <c r="V7" s="128">
        <v>2.0294360482101576E-3</v>
      </c>
      <c r="AA7">
        <v>0.10302281789907311</v>
      </c>
      <c r="AB7">
        <v>8.5340201198371116E-2</v>
      </c>
      <c r="AC7">
        <v>8.5032255001821475E-2</v>
      </c>
      <c r="AD7">
        <v>7.0115454364151966E-2</v>
      </c>
      <c r="AE7">
        <v>7.6188985799226186E-2</v>
      </c>
      <c r="AF7">
        <v>0.12354924385260059</v>
      </c>
      <c r="AG7">
        <v>9.35302221147324E-2</v>
      </c>
      <c r="AH7">
        <v>0.16987039780616056</v>
      </c>
      <c r="AI7">
        <v>8.6980257489982574E-2</v>
      </c>
      <c r="AJ7">
        <v>0.12990033163388048</v>
      </c>
      <c r="AK7">
        <v>0.12430487978627015</v>
      </c>
      <c r="AL7">
        <v>0.10078399670642316</v>
      </c>
      <c r="AM7">
        <v>0.23590315387065944</v>
      </c>
      <c r="AN7">
        <v>9.4586508351926918E-2</v>
      </c>
      <c r="AO7">
        <v>0.78527249796788778</v>
      </c>
      <c r="AP7">
        <v>0.15064322502328842</v>
      </c>
      <c r="AQ7">
        <v>0.1967130008750283</v>
      </c>
      <c r="AR7">
        <v>0.15708072053792105</v>
      </c>
      <c r="AS7">
        <v>0</v>
      </c>
      <c r="AT7">
        <v>4.1583687165903382E-2</v>
      </c>
    </row>
    <row r="8" spans="1:51" x14ac:dyDescent="0.35">
      <c r="A8" t="s">
        <v>746</v>
      </c>
      <c r="B8">
        <v>2022</v>
      </c>
      <c r="C8" s="128">
        <v>1.6968144280693796E-2</v>
      </c>
      <c r="D8" s="128">
        <v>6.0168084619714748E-2</v>
      </c>
      <c r="E8" s="128">
        <v>9.467278833652228E-3</v>
      </c>
      <c r="F8" s="128">
        <v>1.5774200485338037E-3</v>
      </c>
      <c r="G8" s="128">
        <v>2.322257592041977E-2</v>
      </c>
      <c r="H8" s="128">
        <v>0.12934090655392422</v>
      </c>
      <c r="I8" s="128">
        <v>3.4997278381224066E-2</v>
      </c>
      <c r="J8" s="128">
        <v>9.8676249337532624E-3</v>
      </c>
      <c r="K8" s="128">
        <v>6.3889397236674547E-3</v>
      </c>
      <c r="L8" s="128">
        <v>2.9678031484557418E-3</v>
      </c>
      <c r="M8" s="128">
        <v>1.6972884311381508E-2</v>
      </c>
      <c r="N8" s="128">
        <v>8.7756617330623198E-3</v>
      </c>
      <c r="O8" s="128">
        <v>9.7908830598649886E-4</v>
      </c>
      <c r="P8" s="128">
        <v>2.7035643098626298E-3</v>
      </c>
      <c r="Q8" s="128">
        <v>1.1593648829617907E-3</v>
      </c>
      <c r="R8" s="128">
        <v>0.61414868101425335</v>
      </c>
      <c r="S8" s="128">
        <v>5.3751514013881889E-2</v>
      </c>
      <c r="T8" s="128">
        <v>3.6614794427050654E-3</v>
      </c>
      <c r="U8" s="128" t="e">
        <v>#VALUE!</v>
      </c>
      <c r="V8" s="128">
        <v>2.8817055418658179E-3</v>
      </c>
      <c r="AA8">
        <v>0.15652406405612831</v>
      </c>
      <c r="AB8">
        <v>0.10283220798992643</v>
      </c>
      <c r="AC8">
        <v>8.3822412934886972E-2</v>
      </c>
      <c r="AD8">
        <v>4.4883442343349046E-2</v>
      </c>
      <c r="AE8">
        <v>0.10756206438801784</v>
      </c>
      <c r="AF8">
        <v>0.11499184332615422</v>
      </c>
      <c r="AG8">
        <v>0.13249765451109496</v>
      </c>
      <c r="AH8">
        <v>0.11285140978215734</v>
      </c>
      <c r="AI8">
        <v>7.102509455582845E-2</v>
      </c>
      <c r="AJ8">
        <v>8.5075851671801858E-2</v>
      </c>
      <c r="AK8">
        <v>8.1359631764845008E-2</v>
      </c>
      <c r="AL8">
        <v>0.15395699537454213</v>
      </c>
      <c r="AM8">
        <v>8.3625358394393112E-2</v>
      </c>
      <c r="AN8">
        <v>1.0994161190311753E-2</v>
      </c>
      <c r="AO8">
        <v>5.8166167329093028E-2</v>
      </c>
      <c r="AP8">
        <v>0.20680294604764621</v>
      </c>
      <c r="AQ8">
        <v>0.14060665128883018</v>
      </c>
      <c r="AR8">
        <v>0.20342568508305181</v>
      </c>
      <c r="AT8">
        <v>6.7020036442743458E-2</v>
      </c>
    </row>
    <row r="9" spans="1:51" x14ac:dyDescent="0.35">
      <c r="A9" t="s">
        <v>746</v>
      </c>
      <c r="B9">
        <v>2023</v>
      </c>
      <c r="C9" s="128">
        <v>1.8492703685034143E-2</v>
      </c>
      <c r="D9" s="128">
        <v>4.042275337382692E-2</v>
      </c>
      <c r="E9" s="128">
        <v>1.2783743880511726E-2</v>
      </c>
      <c r="F9" s="128">
        <v>4.3174467250415324E-4</v>
      </c>
      <c r="G9" s="128">
        <v>2.466981503156963E-2</v>
      </c>
      <c r="H9" s="128">
        <v>9.7182541663725183E-2</v>
      </c>
      <c r="I9" s="128">
        <v>3.3648128987779309E-2</v>
      </c>
      <c r="J9" s="128">
        <v>7.2904189526715067E-3</v>
      </c>
      <c r="K9" s="128">
        <v>1.5127253962864269E-2</v>
      </c>
      <c r="L9" s="128">
        <v>4.0039461247194539E-3</v>
      </c>
      <c r="M9" s="128">
        <v>3.3002184989629035E-2</v>
      </c>
      <c r="N9" s="128">
        <v>5.2381422391566393E-3</v>
      </c>
      <c r="O9" s="128">
        <v>1.5812648630464613E-3</v>
      </c>
      <c r="P9" s="128">
        <v>6.9389032339354376E-3</v>
      </c>
      <c r="Q9" s="128">
        <v>8.0412445253898548E-4</v>
      </c>
      <c r="R9" s="128">
        <v>0.64679129707006566</v>
      </c>
      <c r="S9" s="128">
        <v>4.5914723702757156E-2</v>
      </c>
      <c r="T9" s="128">
        <v>1.7646484126926003E-3</v>
      </c>
      <c r="U9" s="128" t="e">
        <v>#VALUE!</v>
      </c>
      <c r="V9" s="128">
        <v>3.9116607009716912E-3</v>
      </c>
      <c r="AA9">
        <v>0.2456187383027176</v>
      </c>
      <c r="AB9">
        <v>9.9472534692038553E-2</v>
      </c>
      <c r="AC9">
        <v>0.16296988879566535</v>
      </c>
      <c r="AD9">
        <v>1.7688056095901104E-2</v>
      </c>
      <c r="AE9">
        <v>0.16452388218381073</v>
      </c>
      <c r="AF9">
        <v>0.12440381720128008</v>
      </c>
      <c r="AG9">
        <v>0.18342104211048019</v>
      </c>
      <c r="AH9">
        <v>0.12004972220979181</v>
      </c>
      <c r="AI9">
        <v>0.24213493072243633</v>
      </c>
      <c r="AJ9">
        <v>0.16526228658085648</v>
      </c>
      <c r="AK9">
        <v>0.22777724492237952</v>
      </c>
      <c r="AL9">
        <v>0.1323156326298584</v>
      </c>
      <c r="AM9">
        <v>0.19446214293299352</v>
      </c>
      <c r="AN9">
        <v>4.0628477179993537E-2</v>
      </c>
      <c r="AO9">
        <v>5.8088196595407912E-2</v>
      </c>
      <c r="AP9">
        <v>0.31358962333346729</v>
      </c>
      <c r="AQ9">
        <v>0.17293442607388579</v>
      </c>
      <c r="AR9">
        <v>0.141163265085858</v>
      </c>
      <c r="AT9">
        <v>0.13098771097226611</v>
      </c>
    </row>
    <row r="10" spans="1:51" x14ac:dyDescent="0.35">
      <c r="C10" s="73" t="s">
        <v>659</v>
      </c>
      <c r="D10" s="73" t="s">
        <v>660</v>
      </c>
      <c r="E10" s="73" t="s">
        <v>592</v>
      </c>
      <c r="F10" s="73" t="s">
        <v>433</v>
      </c>
      <c r="G10" s="73" t="s">
        <v>661</v>
      </c>
      <c r="H10" s="73" t="s">
        <v>662</v>
      </c>
      <c r="I10" s="73" t="s">
        <v>663</v>
      </c>
      <c r="J10" s="73" t="s">
        <v>664</v>
      </c>
      <c r="K10" s="73" t="s">
        <v>665</v>
      </c>
      <c r="L10" s="73" t="s">
        <v>666</v>
      </c>
      <c r="M10" s="73" t="s">
        <v>235</v>
      </c>
      <c r="N10" s="73" t="s">
        <v>667</v>
      </c>
      <c r="O10" s="73" t="s">
        <v>668</v>
      </c>
      <c r="P10" s="73" t="s">
        <v>669</v>
      </c>
      <c r="Q10" s="73" t="s">
        <v>670</v>
      </c>
      <c r="R10" s="73" t="s">
        <v>671</v>
      </c>
      <c r="S10" s="73" t="s">
        <v>673</v>
      </c>
      <c r="T10" s="73" t="s">
        <v>674</v>
      </c>
      <c r="U10" s="73" t="s">
        <v>675</v>
      </c>
      <c r="V10" s="73" t="s">
        <v>434</v>
      </c>
      <c r="W10" s="73" t="s">
        <v>676</v>
      </c>
      <c r="X10" s="73" t="s">
        <v>219</v>
      </c>
      <c r="Y10" s="73" t="s">
        <v>418</v>
      </c>
      <c r="Z10" s="73" t="s">
        <v>677</v>
      </c>
      <c r="AA10" s="73" t="s">
        <v>678</v>
      </c>
      <c r="AB10" s="73" t="s">
        <v>679</v>
      </c>
      <c r="AC10" s="73" t="s">
        <v>680</v>
      </c>
      <c r="AD10" s="73" t="s">
        <v>589</v>
      </c>
      <c r="AE10" s="73" t="s">
        <v>681</v>
      </c>
      <c r="AF10" s="73" t="s">
        <v>682</v>
      </c>
      <c r="AG10" s="73" t="s">
        <v>683</v>
      </c>
      <c r="AH10" s="73" t="s">
        <v>684</v>
      </c>
      <c r="AI10" s="73" t="s">
        <v>685</v>
      </c>
      <c r="AJ10" s="73" t="s">
        <v>686</v>
      </c>
      <c r="AK10" s="73" t="s">
        <v>687</v>
      </c>
      <c r="AL10" s="73" t="s">
        <v>688</v>
      </c>
      <c r="AM10" s="73" t="s">
        <v>689</v>
      </c>
      <c r="AN10" s="73" t="s">
        <v>690</v>
      </c>
      <c r="AO10" s="73" t="s">
        <v>691</v>
      </c>
      <c r="AP10" s="73" t="s">
        <v>692</v>
      </c>
      <c r="AQ10" s="73" t="s">
        <v>693</v>
      </c>
      <c r="AR10" s="73" t="s">
        <v>694</v>
      </c>
      <c r="AS10" s="73" t="s">
        <v>695</v>
      </c>
      <c r="AT10" s="73" t="s">
        <v>696</v>
      </c>
      <c r="AU10" s="73" t="s">
        <v>697</v>
      </c>
      <c r="AV10" s="73" t="s">
        <v>408</v>
      </c>
      <c r="AW10" s="73" t="s">
        <v>698</v>
      </c>
      <c r="AX10" s="73" t="s">
        <v>699</v>
      </c>
      <c r="AY10" s="73" t="s">
        <v>700</v>
      </c>
    </row>
    <row r="11" spans="1:51" x14ac:dyDescent="0.35">
      <c r="A11" s="98" t="s">
        <v>738</v>
      </c>
      <c r="B11" s="131">
        <v>2019</v>
      </c>
      <c r="C11" s="128">
        <v>2.094588838260089E-3</v>
      </c>
      <c r="D11" s="128">
        <v>1.9355114441246455E-3</v>
      </c>
      <c r="E11" s="128">
        <v>5.2833333757886909E-5</v>
      </c>
      <c r="F11" s="128">
        <v>5.1694632010641384E-3</v>
      </c>
      <c r="G11" s="128">
        <v>8.7137262604972056E-4</v>
      </c>
      <c r="H11" s="128">
        <v>6.4495914803985033E-3</v>
      </c>
      <c r="I11" s="128">
        <v>1.1846516523766651E-2</v>
      </c>
      <c r="J11" s="128">
        <v>2.6293716163669743E-2</v>
      </c>
      <c r="K11" s="128">
        <v>5.4237190912025043E-3</v>
      </c>
      <c r="L11" s="128">
        <v>3.773809554134779E-4</v>
      </c>
      <c r="M11" s="128">
        <v>4.9819795876528121E-2</v>
      </c>
      <c r="N11" s="128">
        <v>1.4498787616508114E-2</v>
      </c>
      <c r="O11" s="128">
        <v>8.0474601837147094E-3</v>
      </c>
      <c r="P11" s="128">
        <v>3.6806643867196245E-2</v>
      </c>
      <c r="Q11" s="128">
        <v>0</v>
      </c>
      <c r="R11" s="128">
        <v>1.4431123211202478E-2</v>
      </c>
      <c r="S11" s="128">
        <v>4.962458425591184E-2</v>
      </c>
      <c r="T11" s="128">
        <v>4.3747252501540428E-2</v>
      </c>
      <c r="U11" s="128">
        <v>0.12043853931304778</v>
      </c>
      <c r="V11" s="128">
        <v>4.6636183719993146E-2</v>
      </c>
      <c r="W11" s="128">
        <v>1.7284047757937289E-4</v>
      </c>
      <c r="X11" s="128">
        <v>3.7644339016784864E-2</v>
      </c>
      <c r="Y11" s="128">
        <v>3.9357610816266514E-2</v>
      </c>
      <c r="Z11" s="128">
        <v>4.1511905095482568E-4</v>
      </c>
      <c r="AA11" s="128">
        <v>7.8306548248296666E-4</v>
      </c>
      <c r="AB11" s="128">
        <v>5.1323809936232994E-5</v>
      </c>
      <c r="AC11" s="128">
        <v>9.8119048407504256E-5</v>
      </c>
      <c r="AD11" s="128">
        <v>1.1038392945844229E-3</v>
      </c>
      <c r="AE11" s="128">
        <v>9.5444734493157088E-2</v>
      </c>
      <c r="AF11" s="128">
        <v>1.3058475462077035E-2</v>
      </c>
      <c r="AG11" s="128">
        <v>7.1174048190981933E-4</v>
      </c>
      <c r="AH11" s="128">
        <v>1.7902707227194375E-2</v>
      </c>
      <c r="AI11" s="128">
        <v>7.9816072069950584E-4</v>
      </c>
      <c r="AJ11" s="128">
        <v>5.019015754617091E-3</v>
      </c>
      <c r="AK11" s="128">
        <v>9.4345238853369475E-5</v>
      </c>
      <c r="AL11" s="128">
        <v>7.426857202537245E-3</v>
      </c>
      <c r="AM11" s="128">
        <v>7.8657735191594899E-2</v>
      </c>
      <c r="AN11" s="128">
        <v>0</v>
      </c>
      <c r="AO11" s="128">
        <v>1.8114285859846939E-4</v>
      </c>
      <c r="AP11" s="128">
        <v>6.604166719735863E-4</v>
      </c>
      <c r="AQ11" s="128">
        <v>2.6145360162477597E-2</v>
      </c>
      <c r="AR11" s="128">
        <v>3.8892881264913036E-4</v>
      </c>
      <c r="AS11" s="128">
        <v>1.0894750432785196E-2</v>
      </c>
      <c r="AT11" s="128">
        <v>1.5913324651684454E-3</v>
      </c>
      <c r="AU11" s="128">
        <v>0.10291937567226879</v>
      </c>
      <c r="AV11" s="128">
        <v>0.10606992548329999</v>
      </c>
      <c r="AW11" s="128">
        <v>7.5495060130466255E-3</v>
      </c>
      <c r="AX11" s="128">
        <v>1.8095416812076266E-4</v>
      </c>
      <c r="AY11" s="128">
        <v>1.1321428662404338E-4</v>
      </c>
    </row>
    <row r="12" spans="1:51" x14ac:dyDescent="0.35">
      <c r="A12" s="98" t="s">
        <v>738</v>
      </c>
      <c r="B12" s="99">
        <v>2020</v>
      </c>
      <c r="C12" s="128">
        <v>9.7336257823204511E-4</v>
      </c>
      <c r="D12" s="128">
        <v>2.3681878919108823E-3</v>
      </c>
      <c r="E12" s="128">
        <v>3.7198215578932098E-5</v>
      </c>
      <c r="F12" s="128">
        <v>1.6293478952633942E-3</v>
      </c>
      <c r="G12" s="128">
        <v>0</v>
      </c>
      <c r="H12" s="128">
        <v>2.1108961782763988E-2</v>
      </c>
      <c r="I12" s="128">
        <v>1.1195202772385371E-2</v>
      </c>
      <c r="J12" s="128">
        <v>2.092634287955265E-2</v>
      </c>
      <c r="K12" s="128">
        <v>2.6070039123963721E-3</v>
      </c>
      <c r="L12" s="128">
        <v>0</v>
      </c>
      <c r="M12" s="128">
        <v>0.13664658808270838</v>
      </c>
      <c r="N12" s="128">
        <v>1.2786973516976552E-2</v>
      </c>
      <c r="O12" s="128">
        <v>4.4745629225835049E-3</v>
      </c>
      <c r="P12" s="128">
        <v>0.10042460664519226</v>
      </c>
      <c r="Q12" s="128">
        <v>1.8964137007763981E-4</v>
      </c>
      <c r="R12" s="128">
        <v>8.0477991758145032E-3</v>
      </c>
      <c r="S12" s="128">
        <v>0.11716398443208649</v>
      </c>
      <c r="T12" s="128">
        <v>2.2597046847014827E-5</v>
      </c>
      <c r="U12" s="128">
        <v>9.644176797728729E-2</v>
      </c>
      <c r="V12" s="128">
        <v>1.7532259490193533E-2</v>
      </c>
      <c r="W12" s="128">
        <v>4.6202269630281085E-4</v>
      </c>
      <c r="X12" s="128">
        <v>6.711580172250585E-2</v>
      </c>
      <c r="Y12" s="128">
        <v>3.6011814995963891E-2</v>
      </c>
      <c r="Z12" s="128">
        <v>4.5194093694029652E-4</v>
      </c>
      <c r="AA12" s="128">
        <v>9.6222744883958536E-4</v>
      </c>
      <c r="AB12" s="128">
        <v>1.1472346860792143E-5</v>
      </c>
      <c r="AC12" s="128">
        <v>1.5348609512241609E-3</v>
      </c>
      <c r="AD12" s="128">
        <v>1.4044933732606138E-3</v>
      </c>
      <c r="AE12" s="128">
        <v>5.7758920858156319E-3</v>
      </c>
      <c r="AF12" s="128">
        <v>1.6796590033042118E-2</v>
      </c>
      <c r="AG12" s="128">
        <v>2.0858812474167533E-5</v>
      </c>
      <c r="AH12" s="128">
        <v>2.3906344076612084E-2</v>
      </c>
      <c r="AI12" s="128">
        <v>1.7498249196454402E-3</v>
      </c>
      <c r="AJ12" s="128">
        <v>2.4323356932064387E-3</v>
      </c>
      <c r="AK12" s="128">
        <v>3.4566528738441296E-5</v>
      </c>
      <c r="AL12" s="128">
        <v>1.5091350825060209E-3</v>
      </c>
      <c r="AM12" s="128">
        <v>7.9110498441744836E-2</v>
      </c>
      <c r="AN12" s="128">
        <v>6.9598904288805665E-4</v>
      </c>
      <c r="AO12" s="128">
        <v>8.4825837394947968E-5</v>
      </c>
      <c r="AP12" s="128">
        <v>2.9775259513125014E-3</v>
      </c>
      <c r="AQ12" s="128">
        <v>1.3543974586351547E-2</v>
      </c>
      <c r="AR12" s="128">
        <v>3.4799452144402833E-4</v>
      </c>
      <c r="AS12" s="128">
        <v>1.0501403904807102E-2</v>
      </c>
      <c r="AT12" s="128">
        <v>1.9701148381851235E-4</v>
      </c>
      <c r="AU12" s="128">
        <v>0.12017976892194536</v>
      </c>
      <c r="AV12" s="128">
        <v>4.8184249656295267E-2</v>
      </c>
      <c r="AW12" s="128">
        <v>6.5566200543799944E-3</v>
      </c>
      <c r="AX12" s="128">
        <v>6.4905671482117975E-4</v>
      </c>
      <c r="AY12" s="128">
        <v>2.2145105910074529E-3</v>
      </c>
    </row>
    <row r="13" spans="1:51" x14ac:dyDescent="0.35">
      <c r="A13" s="98" t="s">
        <v>738</v>
      </c>
      <c r="B13" s="99">
        <v>2021</v>
      </c>
      <c r="C13" s="128">
        <v>1.5304565285788167E-3</v>
      </c>
      <c r="D13" s="128">
        <v>3.7581474366801256E-4</v>
      </c>
      <c r="E13" s="128">
        <v>3.5317211990582594E-5</v>
      </c>
      <c r="F13" s="128">
        <v>9.7240612627530407E-3</v>
      </c>
      <c r="G13" s="128">
        <v>0</v>
      </c>
      <c r="H13" s="128">
        <v>2.0182027393366459E-2</v>
      </c>
      <c r="I13" s="128">
        <v>1.3255770909452238E-2</v>
      </c>
      <c r="J13" s="128">
        <v>3.4513943458237911E-2</v>
      </c>
      <c r="K13" s="128">
        <v>4.9122281070079019E-3</v>
      </c>
      <c r="L13" s="128">
        <v>2.8880897655850251E-4</v>
      </c>
      <c r="M13" s="128">
        <v>1.785935298905459E-2</v>
      </c>
      <c r="N13" s="128">
        <v>6.120835912109923E-3</v>
      </c>
      <c r="O13" s="128">
        <v>3.719430530451197E-3</v>
      </c>
      <c r="P13" s="128">
        <v>4.6790694845919058E-2</v>
      </c>
      <c r="Q13" s="128">
        <v>1.8034882833321804E-3</v>
      </c>
      <c r="R13" s="128">
        <v>4.5902770626365545E-2</v>
      </c>
      <c r="S13" s="128">
        <v>0.23751966766809557</v>
      </c>
      <c r="T13" s="128">
        <v>5.5044779480458647E-3</v>
      </c>
      <c r="U13" s="128">
        <v>0.11576669846750889</v>
      </c>
      <c r="V13" s="128">
        <v>3.9948057637572074E-3</v>
      </c>
      <c r="W13" s="128">
        <v>4.4030991397604844E-4</v>
      </c>
      <c r="X13" s="128">
        <v>3.2002173439445621E-2</v>
      </c>
      <c r="Y13" s="128">
        <v>3.9923038528517059E-3</v>
      </c>
      <c r="Z13" s="128">
        <v>6.106246932951196E-4</v>
      </c>
      <c r="AA13" s="128">
        <v>7.2020707068645999E-4</v>
      </c>
      <c r="AB13" s="128">
        <v>8.5685497502385443E-5</v>
      </c>
      <c r="AC13" s="128">
        <v>1.6602390309591631E-4</v>
      </c>
      <c r="AD13" s="128">
        <v>3.1443474949798714E-3</v>
      </c>
      <c r="AE13" s="128">
        <v>6.0047347035334049E-2</v>
      </c>
      <c r="AF13" s="128">
        <v>1.3044725812753373E-2</v>
      </c>
      <c r="AG13" s="128">
        <v>1.6074282466741797E-4</v>
      </c>
      <c r="AH13" s="128">
        <v>1.5498014126223935E-2</v>
      </c>
      <c r="AI13" s="128">
        <v>1.1537109948377812E-3</v>
      </c>
      <c r="AJ13" s="128">
        <v>4.2248627427986658E-4</v>
      </c>
      <c r="AK13" s="128">
        <v>1.2078816568181029E-4</v>
      </c>
      <c r="AL13" s="128">
        <v>3.9875442809180216E-4</v>
      </c>
      <c r="AM13" s="128">
        <v>5.9563897311945203E-2</v>
      </c>
      <c r="AN13" s="128">
        <v>6.8462580477445249E-4</v>
      </c>
      <c r="AO13" s="128">
        <v>2.5707299587724537E-3</v>
      </c>
      <c r="AP13" s="128">
        <v>8.8235268181144789E-3</v>
      </c>
      <c r="AQ13" s="128">
        <v>1.5511319506263875E-2</v>
      </c>
      <c r="AR13" s="128">
        <v>2.4590021432695361E-4</v>
      </c>
      <c r="AS13" s="128">
        <v>9.1255384907442273E-3</v>
      </c>
      <c r="AT13" s="128">
        <v>1.9827148824993427E-3</v>
      </c>
      <c r="AU13" s="128">
        <v>0.1658805053132125</v>
      </c>
      <c r="AV13" s="128">
        <v>2.6137222280566533E-2</v>
      </c>
      <c r="AW13" s="128">
        <v>4.390853639154404E-3</v>
      </c>
      <c r="AX13" s="128">
        <v>2.8055729151397387E-5</v>
      </c>
      <c r="AY13" s="128">
        <v>3.2462128965175686E-3</v>
      </c>
    </row>
    <row r="14" spans="1:51" x14ac:dyDescent="0.35">
      <c r="A14" s="98" t="s">
        <v>738</v>
      </c>
      <c r="B14" s="99">
        <v>2022</v>
      </c>
      <c r="C14" s="128">
        <v>4.0975140957928676E-3</v>
      </c>
      <c r="D14" s="128">
        <v>2.1876370733980551E-4</v>
      </c>
      <c r="E14" s="128">
        <v>2.206020578216526E-5</v>
      </c>
      <c r="F14" s="128">
        <v>7.8695776523824146E-3</v>
      </c>
      <c r="G14" s="128">
        <v>3.9156865263343337E-4</v>
      </c>
      <c r="H14" s="128">
        <v>1.3822152835902378E-2</v>
      </c>
      <c r="I14" s="128">
        <v>1.3051847216998803E-2</v>
      </c>
      <c r="J14" s="128">
        <v>2.4606468267562048E-2</v>
      </c>
      <c r="K14" s="128">
        <v>5.3569533041024639E-3</v>
      </c>
      <c r="L14" s="128">
        <v>2.1508700637611129E-4</v>
      </c>
      <c r="M14" s="128">
        <v>2.0462568912411216E-2</v>
      </c>
      <c r="N14" s="128">
        <v>6.3294407089995825E-3</v>
      </c>
      <c r="O14" s="128">
        <v>1.4357517263225892E-4</v>
      </c>
      <c r="P14" s="128">
        <v>0.13825424364419872</v>
      </c>
      <c r="Q14" s="128">
        <v>1.8502262259598374E-3</v>
      </c>
      <c r="R14" s="128">
        <v>2.911542726139808E-2</v>
      </c>
      <c r="S14" s="128">
        <v>0.18811307726771787</v>
      </c>
      <c r="T14" s="128">
        <v>8.5425095229635113E-3</v>
      </c>
      <c r="U14" s="128">
        <v>0</v>
      </c>
      <c r="V14" s="128">
        <v>7.9239523829344877E-4</v>
      </c>
      <c r="W14" s="128">
        <v>1.103010289108263E-5</v>
      </c>
      <c r="X14" s="128">
        <v>5.0320270624565663E-2</v>
      </c>
      <c r="Y14" s="128">
        <v>3.0284265204560325E-2</v>
      </c>
      <c r="Z14" s="128">
        <v>1.0812221591974111E-3</v>
      </c>
      <c r="AA14" s="128">
        <v>4.007604050426689E-4</v>
      </c>
      <c r="AB14" s="128">
        <v>1.6545154336623947E-5</v>
      </c>
      <c r="AC14" s="128">
        <v>2.8314274121409113E-3</v>
      </c>
      <c r="AD14" s="128">
        <v>1.7332174127807444E-2</v>
      </c>
      <c r="AE14" s="128">
        <v>6.4708072873629507E-2</v>
      </c>
      <c r="AF14" s="128">
        <v>8.5678714062110729E-3</v>
      </c>
      <c r="AG14" s="128">
        <v>3.6767009636942098E-5</v>
      </c>
      <c r="AH14" s="128">
        <v>1.5259724529201995E-2</v>
      </c>
      <c r="AI14" s="128">
        <v>0</v>
      </c>
      <c r="AJ14" s="128">
        <v>1.1452923501907464E-3</v>
      </c>
      <c r="AK14" s="128">
        <v>2.2647742596163597E-4</v>
      </c>
      <c r="AL14" s="128">
        <v>5.5150514455413151E-5</v>
      </c>
      <c r="AM14" s="128">
        <v>5.5021671823542416E-2</v>
      </c>
      <c r="AN14" s="128">
        <v>1.5816432205619753E-3</v>
      </c>
      <c r="AO14" s="128">
        <v>5.0271532276590933E-3</v>
      </c>
      <c r="AP14" s="128">
        <v>5.0391025057911001E-3</v>
      </c>
      <c r="AQ14" s="128">
        <v>5.2613590790464146E-3</v>
      </c>
      <c r="AR14" s="128">
        <v>7.2703084856089314E-4</v>
      </c>
      <c r="AS14" s="128">
        <v>5.5296479483671812E-3</v>
      </c>
      <c r="AT14" s="128">
        <v>8.6386295162573686E-3</v>
      </c>
      <c r="AU14" s="128">
        <v>0.1973595978145086</v>
      </c>
      <c r="AV14" s="128">
        <v>4.5951713810430228E-2</v>
      </c>
      <c r="AW14" s="128">
        <v>8.8093755090113274E-3</v>
      </c>
      <c r="AX14" s="128">
        <v>8.9527668465954019E-4</v>
      </c>
      <c r="AY14" s="128">
        <v>4.625289812327316E-3</v>
      </c>
    </row>
    <row r="15" spans="1:51" x14ac:dyDescent="0.35">
      <c r="A15" s="98" t="s">
        <v>738</v>
      </c>
      <c r="B15" s="99">
        <v>2023</v>
      </c>
      <c r="C15" s="128">
        <v>3.5144336656397364E-3</v>
      </c>
      <c r="D15" s="128">
        <v>2.6630909271103704E-4</v>
      </c>
      <c r="E15" s="128">
        <v>5.9723730350636987E-5</v>
      </c>
      <c r="F15" s="128">
        <v>8.7587298253075964E-3</v>
      </c>
      <c r="G15" s="128">
        <v>6.5271836448783591E-6</v>
      </c>
      <c r="H15" s="128">
        <v>5.2497267764603991E-3</v>
      </c>
      <c r="I15" s="128">
        <v>4.5860993123740899E-3</v>
      </c>
      <c r="J15" s="128">
        <v>1.9270530633956624E-2</v>
      </c>
      <c r="K15" s="128">
        <v>2.7975509101948646E-3</v>
      </c>
      <c r="L15" s="128">
        <v>7.9403189039945236E-4</v>
      </c>
      <c r="M15" s="128">
        <v>0</v>
      </c>
      <c r="N15" s="128">
        <v>3.2042597231072352E-3</v>
      </c>
      <c r="O15" s="128">
        <v>6.9903961108765597E-5</v>
      </c>
      <c r="P15" s="128">
        <v>6.7524878820683296E-2</v>
      </c>
      <c r="Q15" s="128">
        <v>0</v>
      </c>
      <c r="R15" s="128">
        <v>3.4907378132809463E-3</v>
      </c>
      <c r="S15" s="128">
        <v>0.14650178180472273</v>
      </c>
      <c r="T15" s="128">
        <v>4.0337994925348261E-5</v>
      </c>
      <c r="U15" s="128">
        <v>0.43494116560288121</v>
      </c>
      <c r="V15" s="128">
        <v>2.2324706472061407E-2</v>
      </c>
      <c r="W15" s="128">
        <v>0</v>
      </c>
      <c r="X15" s="128">
        <v>2.0673929510802512E-2</v>
      </c>
      <c r="Y15" s="128">
        <v>4.1320879995872858E-3</v>
      </c>
      <c r="Z15" s="128">
        <v>5.4393197040652997E-4</v>
      </c>
      <c r="AA15" s="128">
        <v>0</v>
      </c>
      <c r="AB15" s="128">
        <v>0</v>
      </c>
      <c r="AC15" s="128">
        <v>1.4834112696926883E-3</v>
      </c>
      <c r="AD15" s="128">
        <v>1.1610091707761993E-2</v>
      </c>
      <c r="AE15" s="128">
        <v>0</v>
      </c>
      <c r="AF15" s="128">
        <v>4.2411420081980315E-3</v>
      </c>
      <c r="AG15" s="128">
        <v>0</v>
      </c>
      <c r="AH15" s="128">
        <v>3.4829317150299691E-3</v>
      </c>
      <c r="AI15" s="128">
        <v>0</v>
      </c>
      <c r="AJ15" s="128">
        <v>8.697037061224088E-4</v>
      </c>
      <c r="AK15" s="128">
        <v>0</v>
      </c>
      <c r="AL15" s="128">
        <v>0</v>
      </c>
      <c r="AM15" s="128">
        <v>3.4195701894185325E-2</v>
      </c>
      <c r="AN15" s="128">
        <v>2.7109569405061452E-3</v>
      </c>
      <c r="AO15" s="128">
        <v>3.4833403384834176E-3</v>
      </c>
      <c r="AP15" s="128">
        <v>2.3584890236827137E-4</v>
      </c>
      <c r="AQ15" s="128">
        <v>2.2845142757074258E-4</v>
      </c>
      <c r="AR15" s="128">
        <v>1.9322421743933407E-3</v>
      </c>
      <c r="AS15" s="128">
        <v>0</v>
      </c>
      <c r="AT15" s="128">
        <v>5.1510836257632345E-3</v>
      </c>
      <c r="AU15" s="128">
        <v>0.14795599811335039</v>
      </c>
      <c r="AV15" s="128">
        <v>2.2914393999818535E-2</v>
      </c>
      <c r="AW15" s="128">
        <v>7.1472660911418035E-3</v>
      </c>
      <c r="AX15" s="128">
        <v>3.2287801763331616E-4</v>
      </c>
      <c r="AY15" s="128">
        <v>3.2831733733738148E-3</v>
      </c>
    </row>
    <row r="16" spans="1:51" x14ac:dyDescent="0.35">
      <c r="A16" s="98"/>
      <c r="B16" s="99"/>
      <c r="C16" t="s">
        <v>747</v>
      </c>
      <c r="D16" t="s">
        <v>748</v>
      </c>
      <c r="E16" t="s">
        <v>749</v>
      </c>
      <c r="F16" t="s">
        <v>750</v>
      </c>
      <c r="G16" t="s">
        <v>751</v>
      </c>
      <c r="H16" t="s">
        <v>752</v>
      </c>
      <c r="I16" t="s">
        <v>490</v>
      </c>
      <c r="J16" t="s">
        <v>753</v>
      </c>
      <c r="K16" t="s">
        <v>754</v>
      </c>
      <c r="L16" t="s">
        <v>755</v>
      </c>
      <c r="M16" t="s">
        <v>756</v>
      </c>
      <c r="N16" t="s">
        <v>757</v>
      </c>
      <c r="O16" t="s">
        <v>758</v>
      </c>
      <c r="P16" t="s">
        <v>759</v>
      </c>
      <c r="Q16" t="s">
        <v>760</v>
      </c>
      <c r="R16" t="s">
        <v>761</v>
      </c>
      <c r="S16" t="s">
        <v>762</v>
      </c>
      <c r="T16" t="s">
        <v>763</v>
      </c>
      <c r="U16" t="s">
        <v>520</v>
      </c>
      <c r="V16" t="s">
        <v>764</v>
      </c>
      <c r="W16" t="s">
        <v>765</v>
      </c>
      <c r="X16" t="s">
        <v>766</v>
      </c>
      <c r="Y16" t="s">
        <v>767</v>
      </c>
      <c r="Z16" t="s">
        <v>768</v>
      </c>
      <c r="AA16" t="s">
        <v>769</v>
      </c>
      <c r="AB16" t="s">
        <v>770</v>
      </c>
      <c r="AC16" t="s">
        <v>771</v>
      </c>
      <c r="AD16" t="s">
        <v>772</v>
      </c>
      <c r="AE16" t="s">
        <v>773</v>
      </c>
      <c r="AF16" t="s">
        <v>774</v>
      </c>
    </row>
    <row r="17" spans="1:62" x14ac:dyDescent="0.35">
      <c r="A17" s="98" t="s">
        <v>722</v>
      </c>
      <c r="B17" s="99">
        <v>2019</v>
      </c>
      <c r="C17" s="128">
        <v>3.3408278319667847E-2</v>
      </c>
      <c r="D17" s="128">
        <v>4.8233332235903051E-2</v>
      </c>
      <c r="E17" s="128">
        <v>1.4143456761625754E-2</v>
      </c>
      <c r="F17" s="128">
        <v>1.1611715685087234E-4</v>
      </c>
      <c r="G17" s="128">
        <v>0</v>
      </c>
      <c r="H17" s="128">
        <v>4.1485493311266204E-4</v>
      </c>
      <c r="I17" s="128">
        <v>1.1769459083318282E-2</v>
      </c>
      <c r="J17" s="128">
        <v>9.8731251638746269E-4</v>
      </c>
      <c r="K17" s="128">
        <v>5.611405236719768E-2</v>
      </c>
      <c r="L17" s="128">
        <v>7.2040526777987527E-3</v>
      </c>
      <c r="M17" s="128">
        <v>5.4856559857730295E-4</v>
      </c>
      <c r="N17" s="128">
        <v>8.2404475645169069E-4</v>
      </c>
      <c r="O17" s="128">
        <v>4.171325341979238E-2</v>
      </c>
      <c r="P17" s="128">
        <v>3.1546709876985338E-2</v>
      </c>
      <c r="Q17" s="128">
        <v>6.9939379787367542E-2</v>
      </c>
      <c r="R17" s="128">
        <v>7.0579385887614048E-3</v>
      </c>
      <c r="S17" s="128">
        <v>9.958981485909818E-3</v>
      </c>
      <c r="T17" s="128">
        <v>2.9637996461140695E-2</v>
      </c>
      <c r="U17" s="128">
        <v>8.865972447823417E-2</v>
      </c>
      <c r="V17" s="128">
        <v>2.4875606095777967E-2</v>
      </c>
      <c r="W17" s="128">
        <v>3.7844164833474532E-2</v>
      </c>
      <c r="X17" s="128">
        <v>1.2994495088094986E-2</v>
      </c>
      <c r="Y17" s="128">
        <v>9.4190367065532604E-2</v>
      </c>
      <c r="Z17" s="128">
        <v>0.32293543057794299</v>
      </c>
      <c r="AA17" s="128">
        <v>4.7745263676045053E-3</v>
      </c>
      <c r="AB17" s="128">
        <v>1.4618390007952712E-2</v>
      </c>
      <c r="AC17" s="128">
        <v>5.3643522625828185E-3</v>
      </c>
      <c r="AD17" s="128">
        <v>2.7001851985786349E-2</v>
      </c>
      <c r="AE17" s="128">
        <v>0</v>
      </c>
      <c r="AF17" s="128">
        <v>3.123305210167873E-3</v>
      </c>
    </row>
    <row r="18" spans="1:62" x14ac:dyDescent="0.35">
      <c r="A18" s="98" t="s">
        <v>722</v>
      </c>
      <c r="B18" s="99">
        <v>2020</v>
      </c>
      <c r="C18" s="128">
        <v>2.3551925380801524E-2</v>
      </c>
      <c r="D18" s="128">
        <v>4.5331448034747202E-2</v>
      </c>
      <c r="E18" s="128">
        <v>5.9309588776851043E-3</v>
      </c>
      <c r="F18" s="128">
        <v>1.8293596338745158E-3</v>
      </c>
      <c r="G18" s="128">
        <v>3.5204940849055525E-3</v>
      </c>
      <c r="H18" s="128">
        <v>2.7942550487900295E-4</v>
      </c>
      <c r="I18" s="128">
        <v>2.601184173853633E-2</v>
      </c>
      <c r="J18" s="128">
        <v>6.3306750375920185E-4</v>
      </c>
      <c r="K18" s="128">
        <v>5.6819572757725936E-2</v>
      </c>
      <c r="L18" s="128">
        <v>4.9095196195407418E-3</v>
      </c>
      <c r="M18" s="128">
        <v>6.7278102237533846E-4</v>
      </c>
      <c r="N18" s="128">
        <v>5.6678831395456887E-4</v>
      </c>
      <c r="O18" s="128">
        <v>4.6860710075908335E-2</v>
      </c>
      <c r="P18" s="128">
        <v>7.60636179158104E-2</v>
      </c>
      <c r="Q18" s="128">
        <v>6.401118342360182E-2</v>
      </c>
      <c r="R18" s="128">
        <v>5.3698292676747524E-4</v>
      </c>
      <c r="S18" s="128">
        <v>7.5089597462817967E-3</v>
      </c>
      <c r="T18" s="128">
        <v>0</v>
      </c>
      <c r="U18" s="128">
        <v>6.901305114768258E-2</v>
      </c>
      <c r="V18" s="128">
        <v>1.7093335556531562E-2</v>
      </c>
      <c r="W18" s="128">
        <v>3.5923050897777906E-2</v>
      </c>
      <c r="X18" s="128">
        <v>1.2582247009551625E-2</v>
      </c>
      <c r="Y18" s="128">
        <v>0.10306940468470213</v>
      </c>
      <c r="Z18" s="128">
        <v>0.34035144196282074</v>
      </c>
      <c r="AA18" s="128">
        <v>5.2392957105646086E-3</v>
      </c>
      <c r="AB18" s="128">
        <v>1.8004054820660535E-2</v>
      </c>
      <c r="AC18" s="128">
        <v>1.144065208454596E-2</v>
      </c>
      <c r="AD18" s="128">
        <v>1.8146445738325544E-2</v>
      </c>
      <c r="AE18" s="128">
        <v>4.3466189647844902E-4</v>
      </c>
      <c r="AF18" s="128">
        <v>3.6637219292035318E-3</v>
      </c>
    </row>
    <row r="19" spans="1:62" x14ac:dyDescent="0.35">
      <c r="A19" t="s">
        <v>722</v>
      </c>
      <c r="B19">
        <v>2021</v>
      </c>
      <c r="C19" s="128">
        <v>3.0182877693495588E-2</v>
      </c>
      <c r="D19" s="128">
        <v>3.2642170499951759E-2</v>
      </c>
      <c r="E19" s="128">
        <v>5.3240424310614046E-3</v>
      </c>
      <c r="F19" s="128">
        <v>1.4667036782569365E-3</v>
      </c>
      <c r="G19" s="128">
        <v>4.8180510769032627E-3</v>
      </c>
      <c r="H19" s="128">
        <v>5.1333000710182737E-4</v>
      </c>
      <c r="I19" s="128">
        <v>0</v>
      </c>
      <c r="J19" s="128">
        <v>1.3713011899890243E-4</v>
      </c>
      <c r="K19" s="128">
        <v>4.2686189924371253E-2</v>
      </c>
      <c r="L19" s="128">
        <v>1.4632697897976215E-3</v>
      </c>
      <c r="M19" s="128">
        <v>1.1090633185883833E-3</v>
      </c>
      <c r="N19" s="128">
        <v>1.1808218192152064E-3</v>
      </c>
      <c r="O19" s="128">
        <v>9.3204398908397379E-2</v>
      </c>
      <c r="P19" s="128">
        <v>9.0601393737230362E-2</v>
      </c>
      <c r="Q19" s="128">
        <v>5.7078191652462217E-2</v>
      </c>
      <c r="R19" s="128">
        <v>4.5359387307216852E-3</v>
      </c>
      <c r="S19" s="128">
        <v>4.8194662096381373E-3</v>
      </c>
      <c r="T19" s="128">
        <v>3.6780192565341548E-2</v>
      </c>
      <c r="U19" s="128">
        <v>5.5826240002206831E-2</v>
      </c>
      <c r="V19" s="128">
        <v>1.6185824859448805E-2</v>
      </c>
      <c r="W19" s="128">
        <v>4.8273308411204488E-2</v>
      </c>
      <c r="X19" s="128">
        <v>1.1660067570439093E-2</v>
      </c>
      <c r="Y19" s="128">
        <v>8.3008775813158839E-2</v>
      </c>
      <c r="Z19" s="128">
        <v>0.32335985869319067</v>
      </c>
      <c r="AA19" s="128">
        <v>1.9571410956299973E-3</v>
      </c>
      <c r="AB19" s="128">
        <v>1.8240314563939632E-2</v>
      </c>
      <c r="AC19" s="128">
        <v>9.279876926872847E-3</v>
      </c>
      <c r="AD19" s="128">
        <v>1.8255512839046212E-2</v>
      </c>
      <c r="AE19" s="128">
        <v>1.6778715382167074E-3</v>
      </c>
      <c r="AF19" s="128">
        <v>3.7319755251125405E-3</v>
      </c>
    </row>
    <row r="20" spans="1:62" x14ac:dyDescent="0.35">
      <c r="A20" t="s">
        <v>722</v>
      </c>
      <c r="B20">
        <v>2022</v>
      </c>
      <c r="C20" s="128">
        <v>3.160642640548323E-2</v>
      </c>
      <c r="D20" s="128">
        <v>3.1553516266586951E-2</v>
      </c>
      <c r="E20" s="128">
        <v>1.5254435984705249E-3</v>
      </c>
      <c r="F20" s="128">
        <v>7.7926910048734498E-4</v>
      </c>
      <c r="G20" s="128">
        <v>6.0461663005394609E-3</v>
      </c>
      <c r="H20" s="128">
        <v>6.1583444064670738E-4</v>
      </c>
      <c r="I20" s="128">
        <v>1.0583172921210793E-2</v>
      </c>
      <c r="J20" s="128">
        <v>5.6281436812273371E-4</v>
      </c>
      <c r="K20" s="128">
        <v>3.5157414500400989E-2</v>
      </c>
      <c r="L20" s="128">
        <v>2.3100284479137291E-3</v>
      </c>
      <c r="M20" s="128">
        <v>1.8997905036127925E-3</v>
      </c>
      <c r="N20" s="128">
        <v>1.1909476333678748E-3</v>
      </c>
      <c r="O20" s="128">
        <v>0.10725422454880944</v>
      </c>
      <c r="P20" s="128">
        <v>0.11727856819590146</v>
      </c>
      <c r="Q20" s="128">
        <v>5.02650648151233E-2</v>
      </c>
      <c r="R20" s="128">
        <v>0</v>
      </c>
      <c r="S20" s="128">
        <v>5.1553122776572778E-3</v>
      </c>
      <c r="T20" s="128">
        <v>4.123689389652966E-2</v>
      </c>
      <c r="U20" s="128">
        <v>5.4387479661780175E-2</v>
      </c>
      <c r="V20" s="128">
        <v>5.0895943718525814E-2</v>
      </c>
      <c r="W20" s="128">
        <v>4.0936878155696917E-2</v>
      </c>
      <c r="X20" s="128">
        <v>1.016416547981723E-2</v>
      </c>
      <c r="Y20" s="128">
        <v>6.3489725232885388E-2</v>
      </c>
      <c r="Z20" s="128">
        <v>0.27961913650973874</v>
      </c>
      <c r="AA20" s="128">
        <v>7.3541588931443844E-3</v>
      </c>
      <c r="AB20" s="128">
        <v>1.5810214600655473E-2</v>
      </c>
      <c r="AC20" s="128">
        <v>7.0393135639923044E-3</v>
      </c>
      <c r="AD20" s="128">
        <v>1.8522082521770983E-2</v>
      </c>
      <c r="AE20" s="128">
        <v>4.2038848259148753E-3</v>
      </c>
      <c r="AF20" s="128">
        <v>2.5561286152135593E-3</v>
      </c>
    </row>
    <row r="21" spans="1:62" x14ac:dyDescent="0.35">
      <c r="A21" t="s">
        <v>722</v>
      </c>
      <c r="B21">
        <v>2023</v>
      </c>
      <c r="C21" s="128">
        <v>2.7109326294352188E-2</v>
      </c>
      <c r="D21" s="128">
        <v>3.3611351079436552E-2</v>
      </c>
      <c r="E21" s="128">
        <v>1.6956021005106346E-3</v>
      </c>
      <c r="F21" s="128">
        <v>3.3837722847170982E-3</v>
      </c>
      <c r="G21" s="128">
        <v>8.4046289921444611E-3</v>
      </c>
      <c r="H21" s="128">
        <v>1.1331328232278585E-3</v>
      </c>
      <c r="I21" s="128">
        <v>1.0615450830735819E-2</v>
      </c>
      <c r="J21" s="128">
        <v>4.0357792349502374E-4</v>
      </c>
      <c r="K21" s="128">
        <v>3.9391686035841193E-2</v>
      </c>
      <c r="L21" s="128">
        <v>3.9307776928576704E-3</v>
      </c>
      <c r="M21" s="128">
        <v>4.6614585299489626E-3</v>
      </c>
      <c r="N21" s="128">
        <v>1.0937921801476324E-3</v>
      </c>
      <c r="O21" s="128">
        <v>9.2152052328696707E-2</v>
      </c>
      <c r="P21" s="128">
        <v>7.3244099453720943E-2</v>
      </c>
      <c r="Q21" s="128">
        <v>5.8482536210384808E-2</v>
      </c>
      <c r="R21" s="128">
        <v>0</v>
      </c>
      <c r="S21" s="128">
        <v>7.6714315157699496E-3</v>
      </c>
      <c r="T21" s="128">
        <v>2.5045608904439184E-2</v>
      </c>
      <c r="U21" s="128">
        <v>6.8821827956949175E-2</v>
      </c>
      <c r="V21" s="128">
        <v>4.486548771098349E-2</v>
      </c>
      <c r="W21" s="128">
        <v>7.8591357119446245E-2</v>
      </c>
      <c r="X21" s="128">
        <v>1.2225155796562477E-2</v>
      </c>
      <c r="Y21" s="128">
        <v>6.2242896291393547E-2</v>
      </c>
      <c r="Z21" s="128">
        <v>0.27880204157133931</v>
      </c>
      <c r="AA21" s="128">
        <v>1.4289724208158694E-2</v>
      </c>
      <c r="AB21" s="128">
        <v>1.7882309695869649E-2</v>
      </c>
      <c r="AC21" s="128">
        <v>9.5769088128000793E-3</v>
      </c>
      <c r="AD21" s="128">
        <v>1.5613909870486211E-2</v>
      </c>
      <c r="AE21" s="128">
        <v>2.2239795510826969E-3</v>
      </c>
      <c r="AF21" s="128">
        <v>2.8341162345017989E-3</v>
      </c>
    </row>
    <row r="22" spans="1:62" x14ac:dyDescent="0.35">
      <c r="C22" s="132" t="s">
        <v>48</v>
      </c>
      <c r="D22" s="132" t="s">
        <v>49</v>
      </c>
      <c r="E22" s="132" t="s">
        <v>50</v>
      </c>
      <c r="F22" s="132" t="s">
        <v>51</v>
      </c>
      <c r="G22" s="132" t="s">
        <v>776</v>
      </c>
      <c r="H22" s="132" t="s">
        <v>53</v>
      </c>
      <c r="I22" s="132" t="s">
        <v>54</v>
      </c>
      <c r="J22" s="132" t="s">
        <v>55</v>
      </c>
      <c r="K22" s="132" t="s">
        <v>56</v>
      </c>
      <c r="L22" s="132" t="s">
        <v>57</v>
      </c>
      <c r="M22" s="132" t="s">
        <v>58</v>
      </c>
      <c r="N22" s="132" t="s">
        <v>777</v>
      </c>
      <c r="O22" s="132" t="s">
        <v>60</v>
      </c>
      <c r="P22" s="132" t="s">
        <v>61</v>
      </c>
      <c r="Q22" s="132" t="s">
        <v>62</v>
      </c>
      <c r="R22" s="132" t="s">
        <v>63</v>
      </c>
      <c r="S22" s="132" t="s">
        <v>64</v>
      </c>
      <c r="T22" s="132" t="s">
        <v>65</v>
      </c>
    </row>
    <row r="23" spans="1:62" x14ac:dyDescent="0.35">
      <c r="A23" t="s">
        <v>701</v>
      </c>
      <c r="B23">
        <v>2021</v>
      </c>
      <c r="C23" s="143">
        <v>3.0531093383586488E-2</v>
      </c>
      <c r="D23" s="143">
        <v>3.7854946870276497E-2</v>
      </c>
      <c r="E23" s="143">
        <v>8.6397658275537678E-2</v>
      </c>
      <c r="F23" s="143">
        <v>0.14081572660955807</v>
      </c>
      <c r="G23" s="143">
        <v>5.2271433468177281E-2</v>
      </c>
      <c r="H23" s="143"/>
      <c r="I23" s="143">
        <v>0.12148386478156942</v>
      </c>
      <c r="J23" s="143"/>
      <c r="K23" s="143"/>
      <c r="L23" s="143"/>
      <c r="M23" s="143">
        <v>9.1871688357969151E-3</v>
      </c>
      <c r="N23" s="143">
        <v>7.1530335358257566E-3</v>
      </c>
      <c r="O23" s="143"/>
      <c r="P23" s="143"/>
      <c r="Q23" s="143">
        <v>5.8849039708749155E-3</v>
      </c>
      <c r="R23" s="143">
        <v>5.9645419307297726E-4</v>
      </c>
      <c r="S23" s="143"/>
      <c r="T23" s="143">
        <v>0.50782371607572396</v>
      </c>
    </row>
    <row r="24" spans="1:62" x14ac:dyDescent="0.35">
      <c r="A24" t="s">
        <v>701</v>
      </c>
      <c r="B24">
        <v>2022</v>
      </c>
      <c r="C24" s="143">
        <v>4.152094784843248E-2</v>
      </c>
      <c r="D24" s="143">
        <v>5.1048082900531755E-2</v>
      </c>
      <c r="E24" s="143">
        <v>5.2864561488860928E-2</v>
      </c>
      <c r="F24" s="143">
        <v>0.11681432448638142</v>
      </c>
      <c r="G24" s="143">
        <v>5.5230619634810671E-2</v>
      </c>
      <c r="H24" s="143">
        <v>5.1321236997288903E-2</v>
      </c>
      <c r="I24" s="143">
        <v>3.0412760280910531E-2</v>
      </c>
      <c r="J24" s="143">
        <v>4.119804082136936E-2</v>
      </c>
      <c r="K24" s="143">
        <v>1.2885602031283212E-2</v>
      </c>
      <c r="L24" s="143">
        <v>4.3190977622651965E-4</v>
      </c>
      <c r="M24" s="143">
        <v>1.2607087511264738E-2</v>
      </c>
      <c r="N24" s="143">
        <v>9.6527028868939151E-3</v>
      </c>
      <c r="O24" s="143">
        <v>2.2160047435740766E-3</v>
      </c>
      <c r="P24" s="143">
        <v>1.9882908875175576E-2</v>
      </c>
      <c r="Q24" s="143">
        <v>8.3022286736697988E-3</v>
      </c>
      <c r="R24" s="143">
        <v>0</v>
      </c>
      <c r="S24" s="143">
        <v>1.9624980559253954E-3</v>
      </c>
      <c r="T24" s="143">
        <v>0.49164848298740071</v>
      </c>
    </row>
    <row r="25" spans="1:62" x14ac:dyDescent="0.35">
      <c r="A25" t="s">
        <v>701</v>
      </c>
      <c r="B25">
        <v>2023</v>
      </c>
      <c r="C25" s="128">
        <v>9.6853656497900897E-2</v>
      </c>
      <c r="D25" s="128">
        <v>3.5155159420764304E-2</v>
      </c>
      <c r="E25" s="128">
        <v>6.2811466581091019E-2</v>
      </c>
      <c r="F25" s="128">
        <v>0.10809770340190257</v>
      </c>
      <c r="G25" s="128">
        <v>4.714781087545443E-2</v>
      </c>
      <c r="H25" s="128">
        <v>4.2386015764936599E-2</v>
      </c>
      <c r="I25" s="128">
        <v>3.5427464768646076E-2</v>
      </c>
      <c r="J25" s="128">
        <v>3.8003717499081206E-2</v>
      </c>
      <c r="K25" s="128">
        <v>9.8968541109566606E-3</v>
      </c>
      <c r="L25" s="128">
        <v>2.3198534391635675E-4</v>
      </c>
      <c r="M25" s="128">
        <v>1.0836463451072368E-2</v>
      </c>
      <c r="N25" s="128">
        <v>6.6314120283370364E-3</v>
      </c>
      <c r="O25" s="128">
        <v>1.4147195519797577E-3</v>
      </c>
      <c r="P25" s="128">
        <v>1.6297102520228798E-2</v>
      </c>
      <c r="Q25" s="128">
        <v>8.0756000602791988E-3</v>
      </c>
      <c r="R25" s="128">
        <v>0</v>
      </c>
      <c r="S25" s="128">
        <v>8.4920375324279115E-4</v>
      </c>
      <c r="T25" s="128">
        <v>0.47988366437020991</v>
      </c>
    </row>
    <row r="26" spans="1:62" ht="15.5" x14ac:dyDescent="0.35">
      <c r="C26" s="133" t="s">
        <v>66</v>
      </c>
      <c r="D26" s="133" t="s">
        <v>67</v>
      </c>
      <c r="E26" s="133" t="s">
        <v>68</v>
      </c>
      <c r="F26" s="133" t="s">
        <v>69</v>
      </c>
      <c r="G26" s="133" t="s">
        <v>70</v>
      </c>
      <c r="H26" s="133" t="s">
        <v>71</v>
      </c>
      <c r="I26" s="133" t="s">
        <v>72</v>
      </c>
      <c r="J26" s="133" t="s">
        <v>73</v>
      </c>
      <c r="K26" s="133" t="s">
        <v>74</v>
      </c>
      <c r="L26" s="133" t="s">
        <v>75</v>
      </c>
      <c r="M26" s="134" t="s">
        <v>76</v>
      </c>
      <c r="N26" s="134" t="s">
        <v>77</v>
      </c>
      <c r="O26" s="134" t="s">
        <v>78</v>
      </c>
      <c r="P26" s="135" t="s">
        <v>79</v>
      </c>
      <c r="Q26" s="133" t="s">
        <v>80</v>
      </c>
      <c r="R26" s="133" t="s">
        <v>81</v>
      </c>
      <c r="S26" s="133" t="s">
        <v>82</v>
      </c>
      <c r="T26" s="133" t="s">
        <v>83</v>
      </c>
      <c r="U26" s="133" t="s">
        <v>84</v>
      </c>
      <c r="V26" s="133" t="s">
        <v>85</v>
      </c>
      <c r="W26" s="133" t="s">
        <v>86</v>
      </c>
      <c r="X26" s="133" t="s">
        <v>87</v>
      </c>
      <c r="Y26" s="133" t="s">
        <v>88</v>
      </c>
      <c r="Z26" s="134" t="s">
        <v>89</v>
      </c>
      <c r="AA26" s="134" t="s">
        <v>90</v>
      </c>
      <c r="AB26" s="134" t="s">
        <v>91</v>
      </c>
      <c r="AC26" s="134" t="s">
        <v>92</v>
      </c>
      <c r="AD26" s="136" t="s">
        <v>93</v>
      </c>
      <c r="AE26" s="136" t="s">
        <v>94</v>
      </c>
      <c r="AF26" s="133" t="s">
        <v>95</v>
      </c>
      <c r="AG26" s="133" t="s">
        <v>96</v>
      </c>
      <c r="AH26" s="134" t="s">
        <v>97</v>
      </c>
      <c r="AI26" s="134" t="s">
        <v>98</v>
      </c>
      <c r="AJ26" s="134" t="s">
        <v>99</v>
      </c>
      <c r="AK26" s="134" t="s">
        <v>100</v>
      </c>
      <c r="AL26" s="134" t="s">
        <v>101</v>
      </c>
      <c r="AM26" s="134" t="s">
        <v>102</v>
      </c>
      <c r="AN26" s="134" t="s">
        <v>103</v>
      </c>
      <c r="AO26" s="134" t="s">
        <v>104</v>
      </c>
      <c r="AP26" s="134" t="s">
        <v>105</v>
      </c>
      <c r="AQ26" s="134" t="s">
        <v>106</v>
      </c>
      <c r="AR26" s="134" t="s">
        <v>107</v>
      </c>
      <c r="AS26" s="134" t="s">
        <v>108</v>
      </c>
      <c r="AT26" s="134" t="s">
        <v>109</v>
      </c>
      <c r="AU26" s="134" t="s">
        <v>110</v>
      </c>
      <c r="AV26" s="134" t="s">
        <v>111</v>
      </c>
      <c r="AW26" s="134" t="s">
        <v>112</v>
      </c>
      <c r="AX26" s="134" t="s">
        <v>113</v>
      </c>
      <c r="AY26" s="134" t="s">
        <v>114</v>
      </c>
      <c r="AZ26" s="133" t="s">
        <v>115</v>
      </c>
      <c r="BA26" s="133" t="s">
        <v>116</v>
      </c>
      <c r="BB26" s="134" t="s">
        <v>117</v>
      </c>
      <c r="BC26" s="134" t="s">
        <v>118</v>
      </c>
      <c r="BD26" s="134" t="s">
        <v>119</v>
      </c>
      <c r="BE26" s="134" t="s">
        <v>120</v>
      </c>
      <c r="BF26" s="134" t="s">
        <v>121</v>
      </c>
      <c r="BG26" s="134" t="s">
        <v>122</v>
      </c>
      <c r="BH26" s="134" t="s">
        <v>123</v>
      </c>
      <c r="BI26" s="133" t="s">
        <v>124</v>
      </c>
      <c r="BJ26" s="133" t="s">
        <v>125</v>
      </c>
    </row>
    <row r="27" spans="1:62" ht="15.5" x14ac:dyDescent="0.35">
      <c r="A27" s="137" t="s">
        <v>702</v>
      </c>
      <c r="B27">
        <v>2022</v>
      </c>
      <c r="C27" s="144">
        <v>1.8990714061173749E-4</v>
      </c>
      <c r="D27" s="144">
        <v>6.1132333638108001E-2</v>
      </c>
      <c r="E27" s="144">
        <v>2.103093543480082E-3</v>
      </c>
      <c r="F27" s="144">
        <v>2.8393883159424829E-4</v>
      </c>
      <c r="G27" s="144">
        <v>2.0502801013552643E-3</v>
      </c>
      <c r="H27" s="144">
        <v>6.0596561958820988E-3</v>
      </c>
      <c r="I27" s="144">
        <v>1.2689402565328753E-3</v>
      </c>
      <c r="J27" s="144">
        <v>1.1505053955507202E-3</v>
      </c>
      <c r="K27" s="144">
        <v>2.5566786567793787E-4</v>
      </c>
      <c r="L27" s="144">
        <v>3.5883640506528521E-4</v>
      </c>
      <c r="M27" s="144">
        <v>6.9226991322026245E-4</v>
      </c>
      <c r="N27" s="144">
        <v>3.0931919367665189E-2</v>
      </c>
      <c r="O27" s="144">
        <v>3.3607622888193671E-3</v>
      </c>
      <c r="P27" s="144">
        <v>0</v>
      </c>
      <c r="Q27" s="144">
        <v>9.1382824393395623E-3</v>
      </c>
      <c r="R27" s="144">
        <v>0</v>
      </c>
      <c r="S27" s="144">
        <v>0</v>
      </c>
      <c r="T27" s="144">
        <v>2.1674530119747782E-2</v>
      </c>
      <c r="U27" s="144">
        <v>1.2257143593709804E-3</v>
      </c>
      <c r="V27" s="144">
        <v>7.7998775514813061E-3</v>
      </c>
      <c r="W27" s="144">
        <v>2.9845691495780424E-2</v>
      </c>
      <c r="X27" s="144">
        <v>0.35191206703650774</v>
      </c>
      <c r="Y27" s="144">
        <v>2.0785305810643888E-3</v>
      </c>
      <c r="Z27" s="144">
        <v>1.0070281949047263E-2</v>
      </c>
      <c r="AA27" s="144">
        <v>1.1535742293871431E-2</v>
      </c>
      <c r="AB27" s="144">
        <v>1.0632751253538726E-2</v>
      </c>
      <c r="AC27" s="144">
        <v>0</v>
      </c>
      <c r="AD27" s="144">
        <v>0</v>
      </c>
      <c r="AE27" s="144">
        <v>0</v>
      </c>
      <c r="AF27" s="144">
        <v>1.2086862239581998E-4</v>
      </c>
      <c r="AG27" s="144">
        <v>0</v>
      </c>
      <c r="AH27" s="144">
        <v>6.578121127338609E-4</v>
      </c>
      <c r="AI27" s="144">
        <v>2.1755532582960167E-3</v>
      </c>
      <c r="AJ27" s="144">
        <v>3.7375855837937255E-4</v>
      </c>
      <c r="AK27" s="144">
        <v>1.8191751980930194E-4</v>
      </c>
      <c r="AL27" s="144">
        <v>0</v>
      </c>
      <c r="AM27" s="144">
        <v>1.1233529765467508E-3</v>
      </c>
      <c r="AN27" s="144">
        <v>2.4501503794135712E-3</v>
      </c>
      <c r="AO27" s="144">
        <v>1.6393050698298595E-2</v>
      </c>
      <c r="AP27" s="144">
        <v>7.2894841856559743E-4</v>
      </c>
      <c r="AQ27" s="144">
        <v>3.6324503685165474E-2</v>
      </c>
      <c r="AR27" s="144">
        <v>0.14566725813897755</v>
      </c>
      <c r="AS27" s="144">
        <v>2.6559957892158082E-2</v>
      </c>
      <c r="AT27" s="144">
        <v>1.1472276024010032E-2</v>
      </c>
      <c r="AU27" s="144">
        <v>0</v>
      </c>
      <c r="AV27" s="144">
        <v>0.10507654277979771</v>
      </c>
      <c r="AW27" s="144">
        <v>0</v>
      </c>
      <c r="AX27" s="144">
        <v>0</v>
      </c>
      <c r="AY27" s="144">
        <v>0</v>
      </c>
      <c r="AZ27" s="144">
        <v>5.5388968092207865E-3</v>
      </c>
      <c r="BA27" s="144">
        <v>0</v>
      </c>
      <c r="BB27" s="144">
        <v>6.0553188560967357E-2</v>
      </c>
      <c r="BC27" s="144">
        <v>4.6692163417720832E-3</v>
      </c>
      <c r="BD27" s="144">
        <v>1.7212511277452195E-4</v>
      </c>
      <c r="BE27" s="144">
        <v>1.1346080987745921E-3</v>
      </c>
      <c r="BF27" s="144">
        <v>7.438009187752532E-3</v>
      </c>
      <c r="BG27" s="144">
        <v>1.976099545135728E-3</v>
      </c>
      <c r="BH27" s="144">
        <v>3.1796642172974947E-3</v>
      </c>
      <c r="BI27" s="144">
        <v>0</v>
      </c>
      <c r="BJ27" s="144">
        <v>2.8066103844453112E-4</v>
      </c>
    </row>
    <row r="28" spans="1:62" ht="15.5" x14ac:dyDescent="0.35">
      <c r="A28" s="137" t="s">
        <v>702</v>
      </c>
      <c r="B28">
        <v>2023</v>
      </c>
      <c r="C28" s="144">
        <v>7.3243080558766855E-6</v>
      </c>
      <c r="D28" s="144">
        <v>6.8797857552001962E-2</v>
      </c>
      <c r="E28" s="144">
        <v>2.1499146069387061E-3</v>
      </c>
      <c r="F28" s="144">
        <v>6.1695785743816128E-4</v>
      </c>
      <c r="G28" s="144">
        <v>1.8395313581250977E-3</v>
      </c>
      <c r="H28" s="144">
        <v>1.0150649716348383E-2</v>
      </c>
      <c r="I28" s="144">
        <v>2.8690779516480154E-3</v>
      </c>
      <c r="J28" s="144">
        <v>9.6262334448665019E-5</v>
      </c>
      <c r="K28" s="144">
        <v>1.9306876035290945E-4</v>
      </c>
      <c r="L28" s="144">
        <v>2.3730758101040461E-4</v>
      </c>
      <c r="M28" s="144">
        <v>1.5535275918403357E-3</v>
      </c>
      <c r="N28" s="144">
        <v>3.9199278183163114E-2</v>
      </c>
      <c r="O28" s="144">
        <v>6.0695494529327829E-3</v>
      </c>
      <c r="P28" s="144">
        <v>5.9222262280374347E-4</v>
      </c>
      <c r="Q28" s="144">
        <v>9.4561839384034903E-3</v>
      </c>
      <c r="R28" s="144">
        <v>2.1927304191739169E-3</v>
      </c>
      <c r="S28" s="144">
        <v>0</v>
      </c>
      <c r="T28" s="144">
        <v>1.4375729134866963E-2</v>
      </c>
      <c r="U28" s="144">
        <v>2.3856317667712633E-3</v>
      </c>
      <c r="V28" s="144">
        <v>6.8270545039848841E-3</v>
      </c>
      <c r="W28" s="144">
        <v>3.7629570148497625E-2</v>
      </c>
      <c r="X28" s="144">
        <v>0.25729624549272545</v>
      </c>
      <c r="Y28" s="144">
        <v>7.2274281776259375E-3</v>
      </c>
      <c r="Z28" s="144">
        <v>1.0019611567250416E-2</v>
      </c>
      <c r="AA28" s="144">
        <v>1.7326939784394136E-2</v>
      </c>
      <c r="AB28" s="144">
        <v>1.1094970661333119E-2</v>
      </c>
      <c r="AC28" s="144">
        <v>6.5075305187175412E-3</v>
      </c>
      <c r="AD28" s="144">
        <v>9.9192057671015693E-4</v>
      </c>
      <c r="AE28" s="144">
        <v>1.6741275556289566E-2</v>
      </c>
      <c r="AF28" s="144">
        <v>1.6741275556289566E-5</v>
      </c>
      <c r="AG28" s="144">
        <v>2.6827894078954033E-5</v>
      </c>
      <c r="AH28" s="144">
        <v>1.9624960270860446E-3</v>
      </c>
      <c r="AI28" s="144">
        <v>3.237168377304154E-3</v>
      </c>
      <c r="AJ28" s="144">
        <v>8.7891696670520226E-5</v>
      </c>
      <c r="AK28" s="144">
        <v>2.1763658223176439E-5</v>
      </c>
      <c r="AL28" s="144">
        <v>5.267223821897605E-4</v>
      </c>
      <c r="AM28" s="144">
        <v>1.5181365353143397E-3</v>
      </c>
      <c r="AN28" s="144">
        <v>4.7661072206711891E-3</v>
      </c>
      <c r="AO28" s="144">
        <v>1.214498764954249E-2</v>
      </c>
      <c r="AP28" s="144">
        <v>7.4461845419264742E-4</v>
      </c>
      <c r="AQ28" s="144">
        <v>3.7105363142960195E-2</v>
      </c>
      <c r="AR28" s="144">
        <v>0.14879863351012398</v>
      </c>
      <c r="AS28" s="144">
        <v>2.7130911166522872E-2</v>
      </c>
      <c r="AT28" s="144">
        <v>1.4648616111753371E-3</v>
      </c>
      <c r="AU28" s="144">
        <v>0</v>
      </c>
      <c r="AV28" s="144">
        <v>0.10733534892710606</v>
      </c>
      <c r="AW28" s="144">
        <v>1.6132772043007332E-3</v>
      </c>
      <c r="AX28" s="144">
        <v>2.9297232223506744E-6</v>
      </c>
      <c r="AY28" s="144">
        <v>1.4328857748628241E-3</v>
      </c>
      <c r="AZ28" s="144">
        <v>5.8732161438463971E-3</v>
      </c>
      <c r="BA28" s="144">
        <v>5.8594464447013484E-5</v>
      </c>
      <c r="BB28" s="144">
        <v>9.0028297778072794E-2</v>
      </c>
      <c r="BC28" s="144">
        <v>3.5729732530499882E-3</v>
      </c>
      <c r="BD28" s="144">
        <v>6.9861342896396369E-4</v>
      </c>
      <c r="BE28" s="144">
        <v>9.0260587161735198E-4</v>
      </c>
      <c r="BF28" s="144">
        <v>4.8757355802580941E-3</v>
      </c>
      <c r="BG28" s="144">
        <v>4.4514633172285049E-3</v>
      </c>
      <c r="BH28" s="144">
        <v>4.7725191292092486E-3</v>
      </c>
      <c r="BI28" s="144">
        <v>0</v>
      </c>
      <c r="BJ28" s="144">
        <v>3.8295667835012385E-4</v>
      </c>
    </row>
    <row r="29" spans="1:62" x14ac:dyDescent="0.35">
      <c r="C29" s="139" t="s">
        <v>126</v>
      </c>
      <c r="D29" s="139" t="s">
        <v>128</v>
      </c>
      <c r="E29" s="139" t="s">
        <v>127</v>
      </c>
      <c r="F29" s="139" t="s">
        <v>130</v>
      </c>
      <c r="G29" s="139" t="s">
        <v>129</v>
      </c>
      <c r="H29" s="139" t="s">
        <v>132</v>
      </c>
      <c r="I29" s="139" t="s">
        <v>133</v>
      </c>
      <c r="J29" s="139" t="s">
        <v>778</v>
      </c>
      <c r="K29" s="139" t="s">
        <v>135</v>
      </c>
      <c r="L29" s="139" t="s">
        <v>166</v>
      </c>
      <c r="M29" s="139" t="s">
        <v>137</v>
      </c>
      <c r="N29" s="140" t="s">
        <v>138</v>
      </c>
      <c r="O29" s="139" t="s">
        <v>102</v>
      </c>
      <c r="P29" s="139" t="s">
        <v>142</v>
      </c>
      <c r="Q29" s="139" t="s">
        <v>143</v>
      </c>
      <c r="R29" s="139" t="s">
        <v>145</v>
      </c>
      <c r="S29" s="139" t="s">
        <v>146</v>
      </c>
      <c r="T29" s="139" t="s">
        <v>147</v>
      </c>
      <c r="U29" s="139" t="s">
        <v>148</v>
      </c>
      <c r="V29" s="139" t="s">
        <v>153</v>
      </c>
      <c r="W29" s="139" t="s">
        <v>157</v>
      </c>
      <c r="X29" s="139" t="s">
        <v>72</v>
      </c>
      <c r="Y29" s="139" t="s">
        <v>152</v>
      </c>
      <c r="Z29" s="139" t="s">
        <v>159</v>
      </c>
      <c r="AA29" s="139" t="s">
        <v>162</v>
      </c>
      <c r="AB29" s="139" t="s">
        <v>174</v>
      </c>
      <c r="AC29" s="139" t="s">
        <v>779</v>
      </c>
      <c r="AD29" s="141" t="s">
        <v>175</v>
      </c>
      <c r="AE29" s="139" t="s">
        <v>780</v>
      </c>
      <c r="AF29" s="139" t="s">
        <v>172</v>
      </c>
      <c r="AG29" s="139" t="s">
        <v>781</v>
      </c>
      <c r="AH29" s="139" t="s">
        <v>167</v>
      </c>
      <c r="AI29" s="139" t="s">
        <v>165</v>
      </c>
      <c r="AJ29" s="141" t="s">
        <v>151</v>
      </c>
      <c r="AK29" s="139" t="s">
        <v>136</v>
      </c>
      <c r="AL29" s="141" t="s">
        <v>176</v>
      </c>
      <c r="AM29" s="141" t="s">
        <v>177</v>
      </c>
      <c r="AN29" s="139" t="s">
        <v>178</v>
      </c>
      <c r="AO29" s="139" t="s">
        <v>139</v>
      </c>
      <c r="AP29" s="139" t="s">
        <v>140</v>
      </c>
      <c r="AQ29" s="139" t="s">
        <v>141</v>
      </c>
      <c r="AR29" s="139" t="s">
        <v>144</v>
      </c>
      <c r="AS29" s="139" t="s">
        <v>149</v>
      </c>
      <c r="AT29" s="139" t="s">
        <v>150</v>
      </c>
      <c r="AU29" s="139" t="s">
        <v>154</v>
      </c>
      <c r="AV29" s="139" t="s">
        <v>155</v>
      </c>
      <c r="AW29" s="139" t="s">
        <v>782</v>
      </c>
      <c r="AX29" s="139" t="s">
        <v>158</v>
      </c>
      <c r="AY29" s="139" t="s">
        <v>160</v>
      </c>
      <c r="AZ29" s="139" t="s">
        <v>161</v>
      </c>
      <c r="BA29" s="139" t="s">
        <v>783</v>
      </c>
      <c r="BB29" s="139" t="s">
        <v>179</v>
      </c>
      <c r="BC29" s="139" t="s">
        <v>784</v>
      </c>
      <c r="BD29" s="139" t="s">
        <v>181</v>
      </c>
      <c r="BE29" s="139" t="s">
        <v>182</v>
      </c>
      <c r="BF29" s="142" t="s">
        <v>785</v>
      </c>
    </row>
    <row r="30" spans="1:62" x14ac:dyDescent="0.35">
      <c r="A30" t="s">
        <v>703</v>
      </c>
      <c r="B30">
        <v>2019</v>
      </c>
      <c r="C30" s="145">
        <v>4.1328625073970719E-2</v>
      </c>
      <c r="D30" s="145">
        <v>1.240883061972058E-2</v>
      </c>
      <c r="E30" s="145">
        <v>0.19429807052501211</v>
      </c>
      <c r="F30" s="145">
        <v>1.3278500277162708E-2</v>
      </c>
      <c r="G30" s="145">
        <v>2.0113824024035921E-2</v>
      </c>
      <c r="H30" s="145">
        <v>3.1400943175442439E-2</v>
      </c>
      <c r="I30" s="145">
        <v>5.0055124193724508E-2</v>
      </c>
      <c r="J30" s="145">
        <v>6.1324190745919042E-2</v>
      </c>
      <c r="K30" s="145">
        <v>1.2645984020483593E-2</v>
      </c>
      <c r="L30" s="145">
        <v>2.1384001560325962E-4</v>
      </c>
      <c r="M30" s="145">
        <v>2.5999225402648804E-2</v>
      </c>
      <c r="N30" s="145">
        <v>1.3444057468190284E-2</v>
      </c>
      <c r="O30" s="145">
        <v>2.794363246903759E-2</v>
      </c>
      <c r="P30" s="145">
        <v>3.4760884322862833E-2</v>
      </c>
      <c r="Q30" s="145">
        <v>6.6426747944703388E-3</v>
      </c>
      <c r="R30" s="145">
        <v>9.0891653549382469E-4</v>
      </c>
      <c r="S30" s="145">
        <v>0.12055646340235504</v>
      </c>
      <c r="T30" s="145">
        <v>0.1757079675517064</v>
      </c>
      <c r="U30" s="145">
        <v>1.4163315595860346E-2</v>
      </c>
      <c r="V30" s="145">
        <v>7.0923202148284778E-2</v>
      </c>
      <c r="W30" s="145">
        <v>7.1182678517293175E-3</v>
      </c>
      <c r="X30" s="145">
        <v>1.7863246289893255E-2</v>
      </c>
      <c r="Y30" s="145">
        <v>1.0828568982609152E-3</v>
      </c>
      <c r="Z30" s="145">
        <v>1.0611609796853484E-4</v>
      </c>
      <c r="AA30" s="145">
        <v>1.8700550537454981E-3</v>
      </c>
      <c r="AB30" s="145"/>
      <c r="AC30" s="145">
        <v>2.0086092028869545E-2</v>
      </c>
      <c r="AD30" s="145"/>
      <c r="AE30" s="145">
        <v>0</v>
      </c>
      <c r="AF30" s="145">
        <v>3.3946234254397722E-3</v>
      </c>
      <c r="AG30" s="145">
        <v>4.8234589985697659E-5</v>
      </c>
      <c r="AH30" s="145">
        <v>2.5774699817544045E-3</v>
      </c>
      <c r="AI30" s="145"/>
      <c r="AJ30" s="145">
        <v>0</v>
      </c>
      <c r="AK30" s="145">
        <v>2.5475902610779314E-4</v>
      </c>
      <c r="AL30" s="145"/>
      <c r="AM30" s="145">
        <v>1.0611609796853484E-4</v>
      </c>
      <c r="AN30" s="145"/>
      <c r="AO30" s="145">
        <v>1.8329144194565109E-4</v>
      </c>
      <c r="AP30" s="145">
        <v>1.3505685195995345E-4</v>
      </c>
      <c r="AQ30" s="145">
        <v>9.6915414241549661E-3</v>
      </c>
      <c r="AR30" s="145">
        <v>8.6822261974255782E-5</v>
      </c>
      <c r="AS30" s="145">
        <v>3.7429054367510575E-4</v>
      </c>
      <c r="AT30" s="145">
        <v>7.8783163643306175E-5</v>
      </c>
      <c r="AU30" s="145">
        <v>3.3135973533621309E-3</v>
      </c>
      <c r="AV30" s="145"/>
      <c r="AW30" s="145">
        <v>0</v>
      </c>
      <c r="AX30" s="145">
        <v>1.2065078775089174E-4</v>
      </c>
      <c r="AY30" s="145">
        <v>7.7496907910354232E-4</v>
      </c>
      <c r="AZ30" s="145">
        <v>9.3655495555562956E-4</v>
      </c>
      <c r="BA30" s="145">
        <v>1.5767083556491469E-3</v>
      </c>
      <c r="BB30" s="146"/>
      <c r="BC30" s="145"/>
      <c r="BD30" s="145"/>
      <c r="BE30" s="145"/>
      <c r="BF30" s="145"/>
    </row>
    <row r="31" spans="1:62" x14ac:dyDescent="0.35">
      <c r="A31" t="s">
        <v>703</v>
      </c>
      <c r="B31">
        <v>2020</v>
      </c>
      <c r="C31" s="145">
        <v>6.864133415897683E-2</v>
      </c>
      <c r="D31" s="145">
        <v>1.3865596356973427E-2</v>
      </c>
      <c r="E31" s="145">
        <v>0.21529692087139166</v>
      </c>
      <c r="F31" s="145">
        <v>1.4343908876801559E-2</v>
      </c>
      <c r="G31" s="145">
        <v>2.0746827692815037E-2</v>
      </c>
      <c r="H31" s="145">
        <v>3.6208295714309273E-2</v>
      </c>
      <c r="I31" s="145">
        <v>5.8554209299382994E-2</v>
      </c>
      <c r="J31" s="145">
        <v>6.2091208774344459E-2</v>
      </c>
      <c r="K31" s="145">
        <v>1.1991663622470311E-2</v>
      </c>
      <c r="L31" s="145">
        <v>1.7842760277201572E-4</v>
      </c>
      <c r="M31" s="145">
        <v>2.6197411324302731E-2</v>
      </c>
      <c r="N31" s="145">
        <v>1.4048617521433829E-2</v>
      </c>
      <c r="O31" s="145">
        <v>2.9417523376741098E-2</v>
      </c>
      <c r="P31" s="145">
        <v>3.232699929997334E-2</v>
      </c>
      <c r="Q31" s="145">
        <v>7.0118175630788822E-3</v>
      </c>
      <c r="R31" s="145">
        <v>9.0149242893249916E-3</v>
      </c>
      <c r="S31" s="145">
        <v>0.11106876572755642</v>
      </c>
      <c r="T31" s="145">
        <v>0.10645331185812115</v>
      </c>
      <c r="U31" s="145">
        <v>1.000308166235624E-2</v>
      </c>
      <c r="V31" s="145">
        <v>8.2347056852978551E-2</v>
      </c>
      <c r="W31" s="145">
        <v>3.7977239622630945E-3</v>
      </c>
      <c r="X31" s="145">
        <v>2.1163057530430438E-2</v>
      </c>
      <c r="Y31" s="145"/>
      <c r="Z31" s="145">
        <v>1.7301150248929069E-3</v>
      </c>
      <c r="AA31" s="145">
        <v>1.9786482247824383E-3</v>
      </c>
      <c r="AB31" s="145"/>
      <c r="AC31" s="145">
        <v>2.1824760218186835E-2</v>
      </c>
      <c r="AD31" s="145"/>
      <c r="AE31" s="145">
        <v>2.4168866642943695E-3</v>
      </c>
      <c r="AF31" s="145">
        <v>6.9818847509088881E-4</v>
      </c>
      <c r="AG31" s="145">
        <v>2.0247103860654267E-5</v>
      </c>
      <c r="AH31" s="145">
        <v>1.5327563800111796E-3</v>
      </c>
      <c r="AI31" s="145"/>
      <c r="AJ31" s="145"/>
      <c r="AK31" s="145">
        <v>1.877235543320386E-4</v>
      </c>
      <c r="AL31" s="145"/>
      <c r="AM31" s="145"/>
      <c r="AN31" s="145"/>
      <c r="AO31" s="145">
        <v>1.5564961092877965E-4</v>
      </c>
      <c r="AP31" s="145">
        <v>1.0123551930327133E-5</v>
      </c>
      <c r="AQ31" s="145">
        <v>2.1638029278121564E-3</v>
      </c>
      <c r="AR31" s="145">
        <v>0</v>
      </c>
      <c r="AS31" s="145">
        <v>4.2518918107373958E-4</v>
      </c>
      <c r="AT31" s="145"/>
      <c r="AU31" s="145">
        <v>1.907112675954764E-3</v>
      </c>
      <c r="AV31" s="145">
        <v>1.5185327895490698E-5</v>
      </c>
      <c r="AW31" s="145"/>
      <c r="AX31" s="145">
        <v>4.5835646808547385E-4</v>
      </c>
      <c r="AY31" s="145">
        <v>8.0520201165839428E-4</v>
      </c>
      <c r="AZ31" s="145">
        <v>2.2018725448461513E-4</v>
      </c>
      <c r="BA31" s="145">
        <v>6.1567978054601468E-3</v>
      </c>
      <c r="BB31" s="146"/>
      <c r="BC31" s="145">
        <v>3.1636099782272289E-5</v>
      </c>
      <c r="BD31" s="145"/>
      <c r="BE31" s="145"/>
      <c r="BF31" s="145"/>
    </row>
    <row r="32" spans="1:62" x14ac:dyDescent="0.35">
      <c r="A32" t="s">
        <v>703</v>
      </c>
      <c r="B32">
        <v>2021</v>
      </c>
      <c r="C32" s="145">
        <v>6.2942161149371303E-2</v>
      </c>
      <c r="D32" s="145">
        <v>1.6131608361458494E-2</v>
      </c>
      <c r="E32" s="145">
        <v>0.20455583139328801</v>
      </c>
      <c r="F32" s="145">
        <v>1.1239549362909069E-2</v>
      </c>
      <c r="G32" s="145">
        <v>2.222559037814691E-2</v>
      </c>
      <c r="H32" s="145">
        <v>3.4642893876531133E-2</v>
      </c>
      <c r="I32" s="145">
        <v>5.5362881059931604E-2</v>
      </c>
      <c r="J32" s="145">
        <v>6.3395816103664293E-2</v>
      </c>
      <c r="K32" s="145">
        <v>9.816424687922121E-3</v>
      </c>
      <c r="L32" s="145">
        <v>5.4342625438633971E-5</v>
      </c>
      <c r="M32" s="145">
        <v>2.6836208919549652E-2</v>
      </c>
      <c r="N32" s="145">
        <v>4.0057851202707452E-3</v>
      </c>
      <c r="O32" s="145">
        <v>2.8041066439462324E-2</v>
      </c>
      <c r="P32" s="145">
        <v>3.1150241714095958E-2</v>
      </c>
      <c r="Q32" s="145">
        <v>5.2381997855433498E-3</v>
      </c>
      <c r="R32" s="145">
        <v>7.6817512610980613E-3</v>
      </c>
      <c r="S32" s="145">
        <v>9.5092649530078399E-2</v>
      </c>
      <c r="T32" s="145">
        <v>0.16842328388257669</v>
      </c>
      <c r="U32" s="145">
        <v>8.3889634714251725E-3</v>
      </c>
      <c r="V32" s="145">
        <v>0.10564766657738717</v>
      </c>
      <c r="W32" s="145">
        <v>3.6078069028709094E-3</v>
      </c>
      <c r="X32" s="145">
        <v>2.2739834642672704E-2</v>
      </c>
      <c r="Y32" s="145">
        <v>6.3372413452019152E-3</v>
      </c>
      <c r="Z32" s="145">
        <v>2.7986452100896498E-4</v>
      </c>
      <c r="AA32" s="145">
        <v>6.2206003339604311E-4</v>
      </c>
      <c r="AB32" s="145"/>
      <c r="AC32" s="145"/>
      <c r="AD32" s="145"/>
      <c r="AE32" s="145"/>
      <c r="AF32" s="145"/>
      <c r="AG32" s="145">
        <v>5.1625494166702277E-5</v>
      </c>
      <c r="AH32" s="145">
        <v>7.8264249156720649E-4</v>
      </c>
      <c r="AI32" s="145"/>
      <c r="AJ32" s="145">
        <v>1.3110158387070445E-5</v>
      </c>
      <c r="AK32" s="145">
        <v>7.200397870619002E-5</v>
      </c>
      <c r="AL32" s="145"/>
      <c r="AM32" s="145"/>
      <c r="AN32" s="145"/>
      <c r="AO32" s="145">
        <v>1.7117927013169702E-4</v>
      </c>
      <c r="AP32" s="145">
        <v>1.6031074504397022E-4</v>
      </c>
      <c r="AQ32" s="145">
        <v>1.9841579400154037E-4</v>
      </c>
      <c r="AR32" s="145"/>
      <c r="AS32" s="145">
        <v>8.6404774447428013E-4</v>
      </c>
      <c r="AT32" s="145">
        <v>1.1004381651323379E-4</v>
      </c>
      <c r="AU32" s="145">
        <v>1.0480654598658545E-3</v>
      </c>
      <c r="AV32" s="145"/>
      <c r="AW32" s="145"/>
      <c r="AX32" s="145">
        <v>2.8162522207317672E-4</v>
      </c>
      <c r="AY32" s="145">
        <v>9.9582861116296749E-4</v>
      </c>
      <c r="AZ32" s="145">
        <v>5.1908075818983166E-4</v>
      </c>
      <c r="BA32" s="145">
        <v>2.6142878532890837E-4</v>
      </c>
      <c r="BB32" s="146">
        <v>1.0868525087726795E-5</v>
      </c>
      <c r="BC32" s="145"/>
      <c r="BD32" s="145"/>
      <c r="BE32" s="145"/>
      <c r="BF32" s="145"/>
    </row>
    <row r="33" spans="1:58" x14ac:dyDescent="0.35">
      <c r="A33" t="s">
        <v>703</v>
      </c>
      <c r="B33">
        <v>2022</v>
      </c>
      <c r="C33" s="145">
        <v>6.5750985700864642E-2</v>
      </c>
      <c r="D33" s="145">
        <v>1.9170672868087206E-2</v>
      </c>
      <c r="E33" s="145">
        <v>0.19624173634603745</v>
      </c>
      <c r="F33" s="145">
        <v>1.194557670565414E-2</v>
      </c>
      <c r="G33" s="145">
        <v>1.8877658155768844E-2</v>
      </c>
      <c r="H33" s="145">
        <v>3.3028174724882071E-2</v>
      </c>
      <c r="I33" s="145">
        <v>5.4438208121492138E-2</v>
      </c>
      <c r="J33" s="145">
        <v>6.1783010565283514E-2</v>
      </c>
      <c r="K33" s="145">
        <v>8.879782680541435E-3</v>
      </c>
      <c r="L33" s="145">
        <v>1.3184963251273886E-5</v>
      </c>
      <c r="M33" s="145">
        <v>2.0994678047275783E-2</v>
      </c>
      <c r="N33" s="145">
        <v>2.0994678047275783E-2</v>
      </c>
      <c r="O33" s="145">
        <v>2.304757946249178E-2</v>
      </c>
      <c r="P33" s="145">
        <v>2.1790422223401967E-2</v>
      </c>
      <c r="Q33" s="145">
        <v>4.0188822786942904E-3</v>
      </c>
      <c r="R33" s="145">
        <v>7.1216838586606731E-3</v>
      </c>
      <c r="S33" s="145">
        <v>7.0028055929945376E-2</v>
      </c>
      <c r="T33" s="145">
        <v>0.158602764150229</v>
      </c>
      <c r="U33" s="145">
        <v>7.7627525938935111E-3</v>
      </c>
      <c r="V33" s="145">
        <v>0.14097614541060138</v>
      </c>
      <c r="W33" s="145">
        <v>4.7668916138655605E-3</v>
      </c>
      <c r="X33" s="145">
        <v>2.3081702147386075E-2</v>
      </c>
      <c r="Y33" s="145">
        <v>7.4024998429789548E-3</v>
      </c>
      <c r="Z33" s="145">
        <v>2.3469234587267517E-4</v>
      </c>
      <c r="AA33" s="145">
        <v>4.0215456412710478E-4</v>
      </c>
      <c r="AB33" s="145"/>
      <c r="AC33" s="145">
        <v>2.6542673781471841E-2</v>
      </c>
      <c r="AD33" s="145"/>
      <c r="AE33" s="145">
        <v>5.2739853005095549E-4</v>
      </c>
      <c r="AF33" s="145"/>
      <c r="AG33" s="145"/>
      <c r="AH33" s="145">
        <v>1.8051796886584103E-3</v>
      </c>
      <c r="AI33" s="145"/>
      <c r="AJ33" s="145">
        <v>7.910977950764332E-6</v>
      </c>
      <c r="AK33" s="145"/>
      <c r="AL33" s="145"/>
      <c r="AM33" s="145"/>
      <c r="AN33" s="145">
        <v>1.1075369131070065E-4</v>
      </c>
      <c r="AO33" s="145">
        <v>1.3844211413837579E-4</v>
      </c>
      <c r="AP33" s="145">
        <v>8.17467721578981E-5</v>
      </c>
      <c r="AQ33" s="145">
        <v>3.5845432192708261E-4</v>
      </c>
      <c r="AR33" s="145"/>
      <c r="AS33" s="145">
        <v>5.5376845655350317E-4</v>
      </c>
      <c r="AT33" s="145">
        <v>6.0650830955859877E-5</v>
      </c>
      <c r="AU33" s="145">
        <v>7.7369364358475167E-4</v>
      </c>
      <c r="AV33" s="145"/>
      <c r="AW33" s="145"/>
      <c r="AX33" s="145"/>
      <c r="AY33" s="145">
        <v>7.0935102291853512E-4</v>
      </c>
      <c r="AZ33" s="145">
        <v>4.5092574319356693E-4</v>
      </c>
      <c r="BA33" s="145">
        <v>7.5217842055132287E-4</v>
      </c>
      <c r="BB33" s="146">
        <v>5.0102860354840765E-5</v>
      </c>
      <c r="BC33" s="145"/>
      <c r="BD33" s="145"/>
      <c r="BE33" s="145"/>
      <c r="BF33" s="145"/>
    </row>
    <row r="34" spans="1:58" x14ac:dyDescent="0.35">
      <c r="A34" t="s">
        <v>703</v>
      </c>
      <c r="B34">
        <v>2023</v>
      </c>
      <c r="C34" s="145">
        <v>6.0643248353032517E-2</v>
      </c>
      <c r="D34" s="145">
        <v>1.8821402917310711E-2</v>
      </c>
      <c r="E34" s="145">
        <v>0.20203948759441032</v>
      </c>
      <c r="F34" s="145">
        <v>1.4145025883683182E-2</v>
      </c>
      <c r="G34" s="145">
        <v>1.9750590465795716E-2</v>
      </c>
      <c r="H34" s="145">
        <v>3.5279021256049828E-2</v>
      </c>
      <c r="I34" s="145">
        <v>5.6397839823299135E-2</v>
      </c>
      <c r="J34" s="145">
        <v>6.0412459901897517E-2</v>
      </c>
      <c r="K34" s="145">
        <v>8.8520840960318158E-3</v>
      </c>
      <c r="L34" s="145">
        <v>0</v>
      </c>
      <c r="M34" s="145">
        <v>2.9385437845816986E-2</v>
      </c>
      <c r="N34" s="145">
        <v>7.3279775117114079E-3</v>
      </c>
      <c r="O34" s="145">
        <v>1.9947882168034101E-2</v>
      </c>
      <c r="P34" s="145">
        <v>1.823292348263637E-2</v>
      </c>
      <c r="Q34" s="145">
        <v>3.6891316103889638E-3</v>
      </c>
      <c r="R34" s="145">
        <v>9.3149529771061786E-3</v>
      </c>
      <c r="S34" s="145">
        <v>8.1528642652004921E-2</v>
      </c>
      <c r="T34" s="145">
        <v>0.13758255230615055</v>
      </c>
      <c r="U34" s="145">
        <v>7.347706681935246E-3</v>
      </c>
      <c r="V34" s="145">
        <v>5.8643799542531655E-2</v>
      </c>
      <c r="W34" s="145">
        <v>5.4115918899963764E-3</v>
      </c>
      <c r="X34" s="145">
        <v>1.3866923500207956E-2</v>
      </c>
      <c r="Y34" s="145">
        <v>2.2399056824266897E-3</v>
      </c>
      <c r="Z34" s="145">
        <v>2.5929766579901902E-4</v>
      </c>
      <c r="AA34" s="145">
        <v>3.4948815825085173E-5</v>
      </c>
      <c r="AB34" s="145">
        <v>5.8745577258501231E-4</v>
      </c>
      <c r="AC34" s="145">
        <v>2.8766892508578903E-2</v>
      </c>
      <c r="AD34" s="145">
        <v>3.4193470450801075E-4</v>
      </c>
      <c r="AE34" s="145">
        <v>0</v>
      </c>
      <c r="AF34" s="145">
        <v>2.9105599295362066E-4</v>
      </c>
      <c r="AG34" s="145">
        <v>5.8172867631432095E-4</v>
      </c>
      <c r="AH34" s="145">
        <v>6.0310382302540533E-4</v>
      </c>
      <c r="AI34" s="145">
        <v>7.5798186785469709E-4</v>
      </c>
      <c r="AJ34" s="145">
        <v>2.2773099344087759E-5</v>
      </c>
      <c r="AK34" s="145">
        <v>1.5902838581569403E-4</v>
      </c>
      <c r="AL34" s="145">
        <v>0</v>
      </c>
      <c r="AM34" s="145">
        <v>4.2486204386458185E-2</v>
      </c>
      <c r="AN34" s="145">
        <v>4.3967865070268444E-5</v>
      </c>
      <c r="AO34" s="145">
        <v>1.9052741530449659E-4</v>
      </c>
      <c r="AP34" s="145">
        <v>9.0190492451832705E-5</v>
      </c>
      <c r="AQ34" s="145">
        <v>2.919917193128084E-5</v>
      </c>
      <c r="AR34" s="145">
        <v>5.1025271104624358E-4</v>
      </c>
      <c r="AS34" s="145">
        <v>2.5027861655383576E-4</v>
      </c>
      <c r="AT34" s="145">
        <v>4.7350008537212176E-5</v>
      </c>
      <c r="AU34" s="145">
        <v>8.8905277934394093E-4</v>
      </c>
      <c r="AV34" s="145">
        <v>0</v>
      </c>
      <c r="AW34" s="145">
        <v>0</v>
      </c>
      <c r="AX34" s="145">
        <v>4.5095246225916353E-5</v>
      </c>
      <c r="AY34" s="145">
        <v>8.274977682455651E-4</v>
      </c>
      <c r="AZ34" s="145">
        <v>2.2998575575217342E-4</v>
      </c>
      <c r="BA34" s="145">
        <v>2.1888105136904151E-4</v>
      </c>
      <c r="BB34" s="145">
        <v>3.016871972513804E-4</v>
      </c>
      <c r="BC34" s="145">
        <v>1.5118181297238459E-3</v>
      </c>
      <c r="BD34" s="145">
        <v>1.1860049757416001E-4</v>
      </c>
      <c r="BE34" s="145">
        <v>2.0518337032791943E-4</v>
      </c>
      <c r="BF34" s="145">
        <v>4.8737438081770647E-2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2"/>
  <sheetViews>
    <sheetView zoomScale="76" zoomScaleNormal="76" workbookViewId="0">
      <selection activeCell="A6" sqref="A6:XFD8"/>
    </sheetView>
  </sheetViews>
  <sheetFormatPr defaultRowHeight="14.5" x14ac:dyDescent="0.35"/>
  <cols>
    <col min="1" max="1" width="8.26953125" bestFit="1" customWidth="1"/>
    <col min="2" max="2" width="5.7265625" bestFit="1" customWidth="1"/>
    <col min="3" max="3" width="12.453125" bestFit="1" customWidth="1"/>
    <col min="4" max="4" width="27.26953125" hidden="1" customWidth="1"/>
    <col min="5" max="24" width="0" hidden="1" customWidth="1"/>
    <col min="25" max="25" width="11.26953125" bestFit="1" customWidth="1"/>
    <col min="26" max="26" width="14.54296875" bestFit="1" customWidth="1"/>
    <col min="27" max="27" width="16.54296875" bestFit="1" customWidth="1"/>
    <col min="28" max="28" width="22.08984375" bestFit="1" customWidth="1"/>
    <col min="29" max="29" width="21.6328125" bestFit="1" customWidth="1"/>
    <col min="45" max="45" width="12" bestFit="1" customWidth="1"/>
  </cols>
  <sheetData>
    <row r="1" spans="1:45" x14ac:dyDescent="0.35">
      <c r="A1" s="2" t="s">
        <v>22</v>
      </c>
      <c r="B1" s="3" t="s">
        <v>23</v>
      </c>
      <c r="C1" s="3" t="s">
        <v>24</v>
      </c>
      <c r="D1" s="4" t="s">
        <v>25</v>
      </c>
      <c r="E1" s="3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2" t="s">
        <v>43</v>
      </c>
      <c r="W1" s="6" t="s">
        <v>44</v>
      </c>
      <c r="X1" s="7" t="s">
        <v>45</v>
      </c>
      <c r="Y1" s="7" t="s">
        <v>46</v>
      </c>
      <c r="Z1" s="7" t="s">
        <v>47</v>
      </c>
      <c r="AA1" s="8" t="s">
        <v>48</v>
      </c>
      <c r="AB1" s="8" t="s">
        <v>49</v>
      </c>
      <c r="AC1" s="8" t="s">
        <v>50</v>
      </c>
      <c r="AD1" s="8" t="s">
        <v>51</v>
      </c>
      <c r="AE1" s="8" t="s">
        <v>52</v>
      </c>
      <c r="AF1" s="8" t="s">
        <v>53</v>
      </c>
      <c r="AG1" s="8" t="s">
        <v>54</v>
      </c>
      <c r="AH1" s="8" t="s">
        <v>55</v>
      </c>
      <c r="AI1" s="8" t="s">
        <v>56</v>
      </c>
      <c r="AJ1" s="8" t="s">
        <v>57</v>
      </c>
      <c r="AK1" s="8" t="s">
        <v>58</v>
      </c>
      <c r="AL1" s="8" t="s">
        <v>59</v>
      </c>
      <c r="AM1" s="8" t="s">
        <v>60</v>
      </c>
      <c r="AN1" s="8" t="s">
        <v>61</v>
      </c>
      <c r="AO1" s="8" t="s">
        <v>62</v>
      </c>
      <c r="AP1" s="8" t="s">
        <v>63</v>
      </c>
      <c r="AQ1" s="8" t="s">
        <v>64</v>
      </c>
      <c r="AR1" s="8" t="s">
        <v>65</v>
      </c>
    </row>
    <row r="2" spans="1:45" x14ac:dyDescent="0.35">
      <c r="A2" s="38" t="s">
        <v>701</v>
      </c>
      <c r="B2" s="39">
        <v>2017</v>
      </c>
      <c r="C2" s="40">
        <v>301404377</v>
      </c>
      <c r="D2" s="41">
        <v>19712.969536538854</v>
      </c>
      <c r="E2" s="41">
        <v>139.62365730775343</v>
      </c>
      <c r="F2" s="41">
        <v>3825.1881452641137</v>
      </c>
      <c r="G2" s="41">
        <v>209.87396887921426</v>
      </c>
      <c r="H2" s="41">
        <v>336.88513406889251</v>
      </c>
      <c r="I2" s="41">
        <v>1241.3262392928766</v>
      </c>
      <c r="J2" s="41">
        <v>2059.9494456082916</v>
      </c>
      <c r="K2" s="41">
        <v>7646.7353915017075</v>
      </c>
      <c r="L2" s="41">
        <v>151.87584998441196</v>
      </c>
      <c r="M2" s="41">
        <v>1882.6648655097949</v>
      </c>
      <c r="N2" s="41">
        <v>1321.1462202062048</v>
      </c>
      <c r="O2" s="41">
        <v>2560.7578700206341</v>
      </c>
      <c r="P2" s="41">
        <v>1487.0810087040045</v>
      </c>
      <c r="Q2" s="41">
        <v>894.94512005607749</v>
      </c>
      <c r="R2" s="41">
        <v>7879.7064143798007</v>
      </c>
      <c r="S2" s="41">
        <v>4226.3665202152615</v>
      </c>
      <c r="T2" s="41">
        <v>3109.5395455437192</v>
      </c>
      <c r="U2" s="41">
        <v>1340.1913490317972</v>
      </c>
      <c r="V2" s="42">
        <v>-418.29811181018772</v>
      </c>
      <c r="W2" s="43"/>
      <c r="X2" s="44"/>
      <c r="Y2" s="44">
        <v>10976.4</v>
      </c>
      <c r="Z2" s="44">
        <v>59608.528170303216</v>
      </c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5" x14ac:dyDescent="0.35">
      <c r="A3" s="38" t="s">
        <v>701</v>
      </c>
      <c r="B3" s="39">
        <v>2018</v>
      </c>
      <c r="C3" s="40">
        <v>359321520</v>
      </c>
      <c r="D3" s="41">
        <v>19525.041100563831</v>
      </c>
      <c r="E3" s="41">
        <v>130.81728414621008</v>
      </c>
      <c r="F3" s="41">
        <v>4106.4203088864842</v>
      </c>
      <c r="G3" s="41">
        <v>114.49794228766348</v>
      </c>
      <c r="H3" s="41">
        <v>385.91545619791282</v>
      </c>
      <c r="I3" s="41">
        <v>1482.4659788046424</v>
      </c>
      <c r="J3" s="41">
        <v>2149.2423711431297</v>
      </c>
      <c r="K3" s="41">
        <v>8769.2565385852486</v>
      </c>
      <c r="L3" s="41">
        <v>178.18284367603644</v>
      </c>
      <c r="M3" s="41">
        <v>2004.0442211456577</v>
      </c>
      <c r="N3" s="41">
        <v>739.13140427922167</v>
      </c>
      <c r="O3" s="41">
        <v>2845.8178429710219</v>
      </c>
      <c r="P3" s="41">
        <v>1579.9641116724777</v>
      </c>
      <c r="Q3" s="41">
        <v>1045.9048661338795</v>
      </c>
      <c r="R3" s="41">
        <v>8056.3394301042008</v>
      </c>
      <c r="S3" s="41">
        <v>4721.1904299608468</v>
      </c>
      <c r="T3" s="41">
        <v>3094.3782160823121</v>
      </c>
      <c r="U3" s="41">
        <v>1478.0151611758372</v>
      </c>
      <c r="V3" s="42">
        <v>-373.00743359368835</v>
      </c>
      <c r="W3" s="43"/>
      <c r="X3" s="44"/>
      <c r="Y3" s="44">
        <v>10976.4</v>
      </c>
      <c r="Z3" s="44">
        <v>62033.618074222919</v>
      </c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</row>
    <row r="4" spans="1:45" x14ac:dyDescent="0.35">
      <c r="A4" s="38" t="s">
        <v>701</v>
      </c>
      <c r="B4" s="39">
        <v>2019</v>
      </c>
      <c r="C4" s="40">
        <v>301663843</v>
      </c>
      <c r="D4" s="46"/>
      <c r="E4" s="46"/>
      <c r="F4" s="46"/>
      <c r="G4" s="46"/>
      <c r="H4" s="46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5">
        <v>666763</v>
      </c>
      <c r="X4" s="44"/>
      <c r="Y4" s="44">
        <v>10976.4</v>
      </c>
      <c r="Z4" s="47">
        <v>70754</v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</row>
    <row r="5" spans="1:45" x14ac:dyDescent="0.35">
      <c r="A5" s="38" t="s">
        <v>701</v>
      </c>
      <c r="B5" s="39">
        <v>2020</v>
      </c>
      <c r="C5" s="40">
        <v>205203689</v>
      </c>
      <c r="D5" s="46">
        <v>29185</v>
      </c>
      <c r="E5" s="46">
        <v>146</v>
      </c>
      <c r="F5" s="46">
        <v>4523</v>
      </c>
      <c r="G5" s="46">
        <v>132</v>
      </c>
      <c r="H5" s="46">
        <v>405</v>
      </c>
      <c r="I5" s="40">
        <v>2039</v>
      </c>
      <c r="J5" s="40">
        <v>2311</v>
      </c>
      <c r="K5" s="40">
        <v>10121</v>
      </c>
      <c r="L5" s="40">
        <v>139</v>
      </c>
      <c r="M5" s="40">
        <v>2351</v>
      </c>
      <c r="N5" s="40">
        <v>1113</v>
      </c>
      <c r="O5" s="40">
        <v>3212</v>
      </c>
      <c r="P5" s="40">
        <v>1537</v>
      </c>
      <c r="Q5" s="40">
        <v>995</v>
      </c>
      <c r="R5" s="40">
        <v>7795</v>
      </c>
      <c r="S5" s="40">
        <v>4953</v>
      </c>
      <c r="T5" s="40">
        <v>3510</v>
      </c>
      <c r="U5" s="40">
        <v>1386</v>
      </c>
      <c r="V5" s="40">
        <v>-395</v>
      </c>
      <c r="W5" s="45">
        <v>686717</v>
      </c>
      <c r="X5" s="44"/>
      <c r="Y5" s="44">
        <v>10976.4</v>
      </c>
      <c r="Z5" s="47">
        <v>75459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</row>
    <row r="6" spans="1:45" x14ac:dyDescent="0.35">
      <c r="A6" s="38" t="s">
        <v>701</v>
      </c>
      <c r="B6" s="39">
        <v>2021</v>
      </c>
      <c r="C6" s="40">
        <v>253451349</v>
      </c>
      <c r="D6" s="46">
        <v>30592</v>
      </c>
      <c r="E6" s="46">
        <v>174</v>
      </c>
      <c r="F6" s="46">
        <v>4555</v>
      </c>
      <c r="G6" s="46">
        <v>128</v>
      </c>
      <c r="H6" s="46">
        <v>401</v>
      </c>
      <c r="I6" s="40">
        <v>2316</v>
      </c>
      <c r="J6" s="40">
        <v>2531</v>
      </c>
      <c r="K6" s="40">
        <v>12073</v>
      </c>
      <c r="L6" s="40">
        <v>238</v>
      </c>
      <c r="M6" s="40">
        <v>2456</v>
      </c>
      <c r="N6" s="40">
        <v>1366</v>
      </c>
      <c r="O6" s="40">
        <v>3443</v>
      </c>
      <c r="P6" s="40">
        <v>1727</v>
      </c>
      <c r="Q6" s="40">
        <v>1133</v>
      </c>
      <c r="R6" s="40">
        <v>10812</v>
      </c>
      <c r="S6" s="40">
        <v>6242</v>
      </c>
      <c r="T6" s="40">
        <v>3866</v>
      </c>
      <c r="U6" s="40">
        <v>1564</v>
      </c>
      <c r="V6" s="40">
        <v>-399</v>
      </c>
      <c r="W6" s="45">
        <v>702256</v>
      </c>
      <c r="X6" s="44"/>
      <c r="Y6" s="44">
        <v>10976.4</v>
      </c>
      <c r="Z6" s="47">
        <v>85220</v>
      </c>
      <c r="AA6" s="48">
        <v>4961940</v>
      </c>
      <c r="AB6" s="48">
        <v>6773310</v>
      </c>
      <c r="AC6" s="48">
        <v>8508762</v>
      </c>
      <c r="AD6" s="48">
        <v>9655650</v>
      </c>
      <c r="AE6" s="48">
        <v>5838446</v>
      </c>
      <c r="AF6" s="48">
        <v>0</v>
      </c>
      <c r="AG6" s="48">
        <v>15683957</v>
      </c>
      <c r="AH6" s="48">
        <v>0</v>
      </c>
      <c r="AI6" s="48">
        <v>0</v>
      </c>
      <c r="AJ6" s="48">
        <v>0</v>
      </c>
      <c r="AK6" s="48">
        <v>953000</v>
      </c>
      <c r="AL6" s="48">
        <v>1114215</v>
      </c>
      <c r="AM6" s="48">
        <v>0</v>
      </c>
      <c r="AN6" s="48">
        <v>0</v>
      </c>
      <c r="AO6" s="48">
        <v>256730</v>
      </c>
      <c r="AP6" s="48">
        <v>0</v>
      </c>
      <c r="AQ6" s="48">
        <v>0</v>
      </c>
      <c r="AR6" s="48">
        <v>68090852</v>
      </c>
      <c r="AS6" s="126">
        <f>SUM(AA6:AR6)</f>
        <v>121836862</v>
      </c>
    </row>
    <row r="7" spans="1:45" x14ac:dyDescent="0.35">
      <c r="A7" s="38" t="s">
        <v>701</v>
      </c>
      <c r="B7" s="39">
        <v>2022</v>
      </c>
      <c r="C7" s="40">
        <v>312102220</v>
      </c>
      <c r="D7" s="46">
        <v>32591</v>
      </c>
      <c r="E7" s="46">
        <v>226</v>
      </c>
      <c r="F7" s="46">
        <v>4460</v>
      </c>
      <c r="G7" s="46">
        <v>119</v>
      </c>
      <c r="H7" s="46">
        <v>392</v>
      </c>
      <c r="I7" s="40">
        <v>2594</v>
      </c>
      <c r="J7" s="40">
        <v>2833</v>
      </c>
      <c r="K7" s="40">
        <v>15686</v>
      </c>
      <c r="L7" s="40">
        <v>262</v>
      </c>
      <c r="M7" s="40">
        <v>2713</v>
      </c>
      <c r="N7" s="40">
        <v>1584</v>
      </c>
      <c r="O7" s="40">
        <v>3700</v>
      </c>
      <c r="P7" s="40">
        <v>1812</v>
      </c>
      <c r="Q7" s="40">
        <v>1400</v>
      </c>
      <c r="R7" s="40">
        <v>12156</v>
      </c>
      <c r="S7" s="40">
        <v>6558</v>
      </c>
      <c r="T7" s="40">
        <v>2962</v>
      </c>
      <c r="U7" s="40">
        <v>1718</v>
      </c>
      <c r="V7" s="40">
        <v>-431</v>
      </c>
      <c r="W7" s="45">
        <v>717794</v>
      </c>
      <c r="X7" s="45">
        <v>297847</v>
      </c>
      <c r="Y7" s="44">
        <v>10976.4</v>
      </c>
      <c r="Z7" s="47">
        <v>93334</v>
      </c>
      <c r="AA7" s="48">
        <v>9380380</v>
      </c>
      <c r="AB7" s="48">
        <v>11598090</v>
      </c>
      <c r="AC7" s="48">
        <v>20063446</v>
      </c>
      <c r="AD7" s="48">
        <v>31905934</v>
      </c>
      <c r="AE7" s="48">
        <v>12760712</v>
      </c>
      <c r="AF7" s="48">
        <v>6989913</v>
      </c>
      <c r="AG7" s="48">
        <v>20661303</v>
      </c>
      <c r="AH7" s="48">
        <v>5334500</v>
      </c>
      <c r="AI7" s="48">
        <v>187400</v>
      </c>
      <c r="AJ7" s="48">
        <v>64000</v>
      </c>
      <c r="AK7" s="48">
        <v>2676770</v>
      </c>
      <c r="AL7" s="48">
        <v>2201435</v>
      </c>
      <c r="AM7" s="48">
        <v>393360</v>
      </c>
      <c r="AN7" s="48">
        <v>3057500</v>
      </c>
      <c r="AO7" s="48">
        <v>2527363</v>
      </c>
      <c r="AP7" s="48">
        <v>158000</v>
      </c>
      <c r="AQ7" s="48">
        <v>359500</v>
      </c>
      <c r="AR7" s="48">
        <v>126452054</v>
      </c>
      <c r="AS7" s="126">
        <f t="shared" ref="AS7:AS8" si="0">SUM(AA7:AR7)</f>
        <v>256771660</v>
      </c>
    </row>
    <row r="8" spans="1:45" x14ac:dyDescent="0.35">
      <c r="A8" s="38" t="s">
        <v>701</v>
      </c>
      <c r="B8" s="39">
        <v>2023</v>
      </c>
      <c r="C8" s="40">
        <v>370753091</v>
      </c>
      <c r="D8" s="50">
        <v>42188</v>
      </c>
      <c r="E8" s="15">
        <v>195</v>
      </c>
      <c r="F8" s="50">
        <v>4968</v>
      </c>
      <c r="G8" s="15">
        <v>239</v>
      </c>
      <c r="H8" s="15">
        <v>392</v>
      </c>
      <c r="I8" s="50">
        <v>2733</v>
      </c>
      <c r="J8" s="50">
        <v>3133</v>
      </c>
      <c r="K8" s="50">
        <v>18060</v>
      </c>
      <c r="L8" s="15">
        <v>340</v>
      </c>
      <c r="M8" s="50">
        <v>2869</v>
      </c>
      <c r="N8" s="50">
        <v>1855</v>
      </c>
      <c r="O8" s="50">
        <v>4028</v>
      </c>
      <c r="P8" s="50">
        <v>1986</v>
      </c>
      <c r="Q8" s="50">
        <v>1659</v>
      </c>
      <c r="R8" s="50">
        <v>11087</v>
      </c>
      <c r="S8" s="50">
        <v>6833</v>
      </c>
      <c r="T8" s="50">
        <v>2900</v>
      </c>
      <c r="U8" s="50">
        <v>1881</v>
      </c>
      <c r="V8" s="15">
        <v>-590</v>
      </c>
      <c r="W8" s="45">
        <v>733333</v>
      </c>
      <c r="X8" s="44"/>
      <c r="Y8" s="44">
        <v>10976.4</v>
      </c>
      <c r="Z8" s="47">
        <v>101448</v>
      </c>
      <c r="AA8" s="51">
        <v>34605095</v>
      </c>
      <c r="AB8" s="51">
        <v>15653450</v>
      </c>
      <c r="AC8" s="51">
        <v>20619774</v>
      </c>
      <c r="AD8" s="51">
        <v>39045652</v>
      </c>
      <c r="AE8" s="51">
        <v>17085686</v>
      </c>
      <c r="AF8" s="51">
        <v>17394256</v>
      </c>
      <c r="AG8" s="51">
        <v>12342270</v>
      </c>
      <c r="AH8" s="51">
        <v>14195050</v>
      </c>
      <c r="AI8" s="51">
        <v>4044775</v>
      </c>
      <c r="AJ8" s="51">
        <v>93300</v>
      </c>
      <c r="AK8" s="51">
        <v>3752900</v>
      </c>
      <c r="AL8" s="51">
        <v>2803445</v>
      </c>
      <c r="AM8" s="51">
        <v>603032</v>
      </c>
      <c r="AN8" s="51">
        <v>5700000</v>
      </c>
      <c r="AO8" s="51">
        <v>2775328</v>
      </c>
      <c r="AP8" s="51">
        <v>0</v>
      </c>
      <c r="AQ8" s="51">
        <v>388600</v>
      </c>
      <c r="AR8" s="51">
        <v>177289635</v>
      </c>
      <c r="AS8" s="126">
        <f t="shared" si="0"/>
        <v>368392248</v>
      </c>
    </row>
    <row r="10" spans="1:45" x14ac:dyDescent="0.35">
      <c r="AA10" s="127">
        <f>AA6/$AS6</f>
        <v>4.0726098149179185E-2</v>
      </c>
      <c r="AB10" s="127">
        <f>AB6/$AS6</f>
        <v>5.5593273569373443E-2</v>
      </c>
      <c r="AC10" s="127">
        <f t="shared" ref="AC10:AS10" si="1">AC6/$AS6</f>
        <v>6.9837337077837736E-2</v>
      </c>
      <c r="AD10" s="127">
        <f t="shared" si="1"/>
        <v>7.9250645834919808E-2</v>
      </c>
      <c r="AE10" s="127">
        <f t="shared" si="1"/>
        <v>4.7920193479704033E-2</v>
      </c>
      <c r="AF10" s="127">
        <f t="shared" si="1"/>
        <v>0</v>
      </c>
      <c r="AG10" s="127">
        <f t="shared" si="1"/>
        <v>0.12872916080192545</v>
      </c>
      <c r="AH10" s="127">
        <f t="shared" si="1"/>
        <v>0</v>
      </c>
      <c r="AI10" s="127">
        <f t="shared" si="1"/>
        <v>0</v>
      </c>
      <c r="AJ10" s="127">
        <f t="shared" si="1"/>
        <v>0</v>
      </c>
      <c r="AK10" s="127">
        <f t="shared" si="1"/>
        <v>7.8219348755059048E-3</v>
      </c>
      <c r="AL10" s="127">
        <f t="shared" si="1"/>
        <v>9.1451386855318055E-3</v>
      </c>
      <c r="AM10" s="127">
        <f t="shared" si="1"/>
        <v>0</v>
      </c>
      <c r="AN10" s="127">
        <f t="shared" si="1"/>
        <v>0</v>
      </c>
      <c r="AO10" s="127">
        <f t="shared" si="1"/>
        <v>2.1071619523490353E-3</v>
      </c>
      <c r="AP10" s="127">
        <f t="shared" si="1"/>
        <v>0</v>
      </c>
      <c r="AQ10" s="127">
        <f t="shared" si="1"/>
        <v>0</v>
      </c>
      <c r="AR10" s="127">
        <f t="shared" si="1"/>
        <v>0.55886905557367361</v>
      </c>
      <c r="AS10" s="127">
        <f t="shared" si="1"/>
        <v>1</v>
      </c>
    </row>
    <row r="11" spans="1:45" x14ac:dyDescent="0.35">
      <c r="AA11" s="127">
        <f t="shared" ref="AA11:AS11" si="2">AA7/$AS7</f>
        <v>3.6531991108364532E-2</v>
      </c>
      <c r="AB11" s="127">
        <f t="shared" si="2"/>
        <v>4.516888662868792E-2</v>
      </c>
      <c r="AC11" s="127">
        <f t="shared" si="2"/>
        <v>7.8137306897497955E-2</v>
      </c>
      <c r="AD11" s="127">
        <f t="shared" si="2"/>
        <v>0.1242580041738251</v>
      </c>
      <c r="AE11" s="127">
        <f t="shared" si="2"/>
        <v>4.9696730550404203E-2</v>
      </c>
      <c r="AF11" s="127">
        <f t="shared" si="2"/>
        <v>2.7222291587786596E-2</v>
      </c>
      <c r="AG11" s="127">
        <f t="shared" si="2"/>
        <v>8.0465667433859328E-2</v>
      </c>
      <c r="AH11" s="127">
        <f t="shared" si="2"/>
        <v>2.0775267800192593E-2</v>
      </c>
      <c r="AI11" s="127">
        <f t="shared" si="2"/>
        <v>7.2983132172763923E-4</v>
      </c>
      <c r="AJ11" s="127">
        <f t="shared" si="2"/>
        <v>2.4924869045127486E-4</v>
      </c>
      <c r="AK11" s="127">
        <f t="shared" si="2"/>
        <v>1.0424709642800923E-2</v>
      </c>
      <c r="AL11" s="127">
        <f t="shared" si="2"/>
        <v>8.5735123572437868E-3</v>
      </c>
      <c r="AM11" s="127">
        <f t="shared" si="2"/>
        <v>1.5319447636861483E-3</v>
      </c>
      <c r="AN11" s="127">
        <f t="shared" si="2"/>
        <v>1.1907466735230828E-2</v>
      </c>
      <c r="AO11" s="127">
        <f t="shared" si="2"/>
        <v>9.8428424694532099E-3</v>
      </c>
      <c r="AP11" s="127">
        <f t="shared" si="2"/>
        <v>6.1533270455158484E-4</v>
      </c>
      <c r="AQ11" s="127">
        <f t="shared" si="2"/>
        <v>1.4000766283942705E-3</v>
      </c>
      <c r="AR11" s="127">
        <f t="shared" si="2"/>
        <v>0.49246888850584214</v>
      </c>
      <c r="AS11" s="127">
        <f t="shared" si="2"/>
        <v>1</v>
      </c>
    </row>
    <row r="12" spans="1:45" x14ac:dyDescent="0.35">
      <c r="AA12" s="127">
        <f t="shared" ref="AA12:AS12" si="3">AA8/$AS8</f>
        <v>9.3935459249945993E-2</v>
      </c>
      <c r="AB12" s="127">
        <f t="shared" si="3"/>
        <v>4.249125785078952E-2</v>
      </c>
      <c r="AC12" s="127">
        <f t="shared" si="3"/>
        <v>5.5972334140972475E-2</v>
      </c>
      <c r="AD12" s="127">
        <f t="shared" si="3"/>
        <v>0.10598934209929411</v>
      </c>
      <c r="AE12" s="127">
        <f t="shared" si="3"/>
        <v>4.6379059528961639E-2</v>
      </c>
      <c r="AF12" s="127">
        <f t="shared" si="3"/>
        <v>4.7216672159724707E-2</v>
      </c>
      <c r="AG12" s="127">
        <f t="shared" si="3"/>
        <v>3.3503066546612024E-2</v>
      </c>
      <c r="AH12" s="127">
        <f t="shared" si="3"/>
        <v>3.853243404839507E-2</v>
      </c>
      <c r="AI12" s="127">
        <f t="shared" si="3"/>
        <v>1.097953342384121E-2</v>
      </c>
      <c r="AJ12" s="127">
        <f t="shared" si="3"/>
        <v>2.5326265823052822E-4</v>
      </c>
      <c r="AK12" s="127">
        <f t="shared" si="3"/>
        <v>1.0187239336263124E-2</v>
      </c>
      <c r="AL12" s="127">
        <f t="shared" si="3"/>
        <v>7.6099456902795634E-3</v>
      </c>
      <c r="AM12" s="127">
        <f t="shared" si="3"/>
        <v>1.6369291245238147E-3</v>
      </c>
      <c r="AN12" s="127">
        <f t="shared" si="3"/>
        <v>1.5472638284180181E-2</v>
      </c>
      <c r="AO12" s="127">
        <f t="shared" si="3"/>
        <v>7.5336221515714414E-3</v>
      </c>
      <c r="AP12" s="127">
        <f t="shared" si="3"/>
        <v>0</v>
      </c>
      <c r="AQ12" s="127">
        <f t="shared" si="3"/>
        <v>1.0548539012688453E-3</v>
      </c>
      <c r="AR12" s="127">
        <f t="shared" si="3"/>
        <v>0.48125234980514575</v>
      </c>
      <c r="AS12" s="127">
        <f t="shared" si="3"/>
        <v>1</v>
      </c>
    </row>
  </sheetData>
  <autoFilter ref="A1:AR8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8"/>
  <sheetViews>
    <sheetView topLeftCell="B1" workbookViewId="0">
      <selection activeCell="U9" sqref="U9"/>
    </sheetView>
  </sheetViews>
  <sheetFormatPr defaultRowHeight="14.5" x14ac:dyDescent="0.35"/>
  <cols>
    <col min="25" max="25" width="11.7265625" bestFit="1" customWidth="1"/>
    <col min="26" max="26" width="15.81640625" bestFit="1" customWidth="1"/>
    <col min="27" max="27" width="10.7265625" bestFit="1" customWidth="1"/>
  </cols>
  <sheetData>
    <row r="1" spans="1:102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s="14" t="s">
        <v>337</v>
      </c>
      <c r="AB1" s="14" t="s">
        <v>338</v>
      </c>
      <c r="AC1" s="14" t="s">
        <v>339</v>
      </c>
      <c r="AD1" s="14" t="s">
        <v>340</v>
      </c>
      <c r="AE1" s="14" t="s">
        <v>341</v>
      </c>
      <c r="AF1" s="14" t="s">
        <v>342</v>
      </c>
      <c r="AG1" s="14" t="s">
        <v>343</v>
      </c>
      <c r="AH1" s="14" t="s">
        <v>344</v>
      </c>
      <c r="AI1" s="14" t="s">
        <v>345</v>
      </c>
      <c r="AJ1" s="14" t="s">
        <v>346</v>
      </c>
      <c r="AK1" s="14" t="s">
        <v>347</v>
      </c>
      <c r="AL1" s="14" t="s">
        <v>348</v>
      </c>
      <c r="AM1" s="14" t="s">
        <v>349</v>
      </c>
      <c r="AN1" s="14" t="s">
        <v>350</v>
      </c>
      <c r="AO1" s="14" t="s">
        <v>351</v>
      </c>
      <c r="AP1" s="14" t="s">
        <v>352</v>
      </c>
      <c r="AQ1" s="14" t="s">
        <v>353</v>
      </c>
      <c r="AR1" s="14" t="s">
        <v>354</v>
      </c>
      <c r="AS1" s="14" t="s">
        <v>355</v>
      </c>
      <c r="AT1" s="14" t="s">
        <v>356</v>
      </c>
      <c r="AU1" s="14" t="s">
        <v>267</v>
      </c>
      <c r="AV1" s="14" t="s">
        <v>357</v>
      </c>
      <c r="AW1" s="14" t="s">
        <v>358</v>
      </c>
      <c r="AX1" s="14" t="s">
        <v>359</v>
      </c>
      <c r="AY1" s="14" t="s">
        <v>360</v>
      </c>
      <c r="AZ1" s="14" t="s">
        <v>361</v>
      </c>
      <c r="BA1" s="14" t="s">
        <v>362</v>
      </c>
      <c r="BB1" s="14" t="s">
        <v>363</v>
      </c>
      <c r="BC1" s="14" t="s">
        <v>364</v>
      </c>
      <c r="BD1" s="14" t="s">
        <v>365</v>
      </c>
      <c r="BE1" s="14" t="s">
        <v>366</v>
      </c>
      <c r="BF1" s="14" t="s">
        <v>367</v>
      </c>
      <c r="BG1" s="14" t="s">
        <v>368</v>
      </c>
      <c r="BH1" s="14" t="s">
        <v>369</v>
      </c>
      <c r="BI1" s="14" t="s">
        <v>370</v>
      </c>
      <c r="BJ1" s="14" t="s">
        <v>371</v>
      </c>
      <c r="BK1" s="14" t="s">
        <v>372</v>
      </c>
      <c r="BL1" s="14" t="s">
        <v>98</v>
      </c>
      <c r="BM1" s="14" t="s">
        <v>373</v>
      </c>
      <c r="BN1" s="14" t="s">
        <v>374</v>
      </c>
      <c r="BO1" s="14" t="s">
        <v>375</v>
      </c>
      <c r="BP1" s="14" t="s">
        <v>376</v>
      </c>
      <c r="BQ1" s="14" t="s">
        <v>377</v>
      </c>
      <c r="BR1" s="14" t="s">
        <v>378</v>
      </c>
      <c r="BS1" s="14" t="s">
        <v>379</v>
      </c>
      <c r="BT1" s="14" t="s">
        <v>380</v>
      </c>
      <c r="BU1" s="14" t="s">
        <v>381</v>
      </c>
      <c r="BV1" s="14" t="s">
        <v>382</v>
      </c>
      <c r="BW1" s="14" t="s">
        <v>383</v>
      </c>
      <c r="BX1" s="14" t="s">
        <v>384</v>
      </c>
      <c r="BY1" s="14" t="s">
        <v>385</v>
      </c>
      <c r="BZ1" s="14" t="s">
        <v>386</v>
      </c>
      <c r="CA1" s="14" t="s">
        <v>387</v>
      </c>
      <c r="CB1" s="14" t="s">
        <v>388</v>
      </c>
      <c r="CC1" s="14" t="s">
        <v>389</v>
      </c>
      <c r="CD1" s="14" t="s">
        <v>390</v>
      </c>
      <c r="CE1" s="14" t="s">
        <v>391</v>
      </c>
      <c r="CF1" s="14" t="s">
        <v>81</v>
      </c>
      <c r="CG1" s="14" t="s">
        <v>392</v>
      </c>
      <c r="CH1" s="14" t="s">
        <v>351</v>
      </c>
      <c r="CI1" s="14" t="s">
        <v>393</v>
      </c>
      <c r="CJ1" s="14" t="s">
        <v>394</v>
      </c>
      <c r="CK1" s="14" t="s">
        <v>395</v>
      </c>
      <c r="CL1" s="14" t="s">
        <v>396</v>
      </c>
      <c r="CM1" s="14" t="s">
        <v>397</v>
      </c>
      <c r="CN1" s="14" t="s">
        <v>398</v>
      </c>
      <c r="CO1" s="14" t="s">
        <v>399</v>
      </c>
      <c r="CP1" s="14" t="s">
        <v>400</v>
      </c>
      <c r="CQ1" s="14" t="s">
        <v>401</v>
      </c>
      <c r="CR1" s="14" t="s">
        <v>402</v>
      </c>
      <c r="CS1" s="14" t="s">
        <v>403</v>
      </c>
      <c r="CT1" s="14" t="s">
        <v>404</v>
      </c>
      <c r="CU1" s="14" t="s">
        <v>405</v>
      </c>
      <c r="CV1" s="14" t="s">
        <v>299</v>
      </c>
      <c r="CW1" s="14" t="s">
        <v>406</v>
      </c>
      <c r="CX1" s="14" t="s">
        <v>407</v>
      </c>
    </row>
    <row r="2" spans="1:102" x14ac:dyDescent="0.35">
      <c r="A2" t="s">
        <v>708</v>
      </c>
      <c r="B2">
        <v>2017</v>
      </c>
      <c r="C2">
        <v>682162558</v>
      </c>
      <c r="D2">
        <v>10858.1719061567</v>
      </c>
      <c r="E2">
        <v>2839.4351289828655</v>
      </c>
      <c r="F2">
        <v>6802.2878367056401</v>
      </c>
      <c r="G2">
        <v>2087.8313149162709</v>
      </c>
      <c r="H2">
        <v>923.81147189554304</v>
      </c>
      <c r="I2">
        <v>9103.6669224722009</v>
      </c>
      <c r="J2">
        <v>7646.0725762654638</v>
      </c>
      <c r="K2">
        <v>10296.615295300851</v>
      </c>
      <c r="L2">
        <v>2859.6052897064992</v>
      </c>
      <c r="M2">
        <v>4865.1284716097616</v>
      </c>
      <c r="N2">
        <v>5114.7234435272967</v>
      </c>
      <c r="O2">
        <v>22711.492669077459</v>
      </c>
      <c r="P2">
        <v>4642.3395423944676</v>
      </c>
      <c r="Q2">
        <v>2510.4541317152289</v>
      </c>
      <c r="R2">
        <v>7359.4863618213967</v>
      </c>
      <c r="S2">
        <v>4058.4119517515833</v>
      </c>
      <c r="T2">
        <v>4003.6611753621269</v>
      </c>
      <c r="U2">
        <v>6839.3367320956386</v>
      </c>
      <c r="V2">
        <v>-2056.6587994482979</v>
      </c>
      <c r="Y2">
        <v>21871.1</v>
      </c>
      <c r="Z2">
        <v>113465.87342230869</v>
      </c>
      <c r="AA2" s="55">
        <v>128212085</v>
      </c>
      <c r="AB2" s="55">
        <v>11200</v>
      </c>
      <c r="AC2" s="55">
        <v>0</v>
      </c>
      <c r="AD2" s="55">
        <v>0</v>
      </c>
      <c r="AE2" s="55">
        <v>15042850</v>
      </c>
      <c r="AF2" s="55">
        <v>0</v>
      </c>
      <c r="AG2" s="55">
        <v>417300</v>
      </c>
      <c r="AH2" s="55">
        <v>1122300</v>
      </c>
      <c r="AI2" s="55">
        <v>233349</v>
      </c>
      <c r="AJ2" s="55">
        <v>26050</v>
      </c>
      <c r="AK2" s="55">
        <v>3005220</v>
      </c>
      <c r="AL2" s="55">
        <v>13051892</v>
      </c>
      <c r="AM2" s="55">
        <v>2468785</v>
      </c>
      <c r="AN2" s="55">
        <v>20000</v>
      </c>
      <c r="AO2" s="55">
        <v>32000</v>
      </c>
      <c r="AP2" s="55">
        <v>66334250</v>
      </c>
      <c r="AQ2" s="55">
        <v>0</v>
      </c>
      <c r="AR2" s="55">
        <v>66000</v>
      </c>
      <c r="AS2" s="55">
        <v>1000</v>
      </c>
      <c r="AT2" s="55">
        <v>31680107</v>
      </c>
      <c r="AU2" s="55">
        <v>0</v>
      </c>
      <c r="AV2" s="55">
        <v>8391850</v>
      </c>
      <c r="AW2" s="55">
        <v>4931000</v>
      </c>
      <c r="AX2" s="55">
        <v>292000</v>
      </c>
      <c r="AY2" s="55">
        <v>4887600</v>
      </c>
      <c r="AZ2" s="55">
        <v>1412680</v>
      </c>
      <c r="BA2" s="55">
        <v>541900</v>
      </c>
      <c r="BB2" s="55">
        <v>11904150</v>
      </c>
      <c r="BC2" s="55">
        <v>3990450</v>
      </c>
      <c r="BD2" s="55">
        <v>21700</v>
      </c>
      <c r="BE2" s="55">
        <v>0</v>
      </c>
      <c r="BF2" s="55">
        <v>2673800</v>
      </c>
      <c r="BG2" s="55">
        <v>0</v>
      </c>
      <c r="BH2" s="55">
        <v>47000</v>
      </c>
      <c r="BI2" s="55">
        <v>26100</v>
      </c>
      <c r="BJ2" s="55">
        <v>10043360</v>
      </c>
      <c r="BK2" s="55">
        <v>0</v>
      </c>
      <c r="BL2" s="55">
        <v>30583496</v>
      </c>
      <c r="BM2" s="55">
        <v>70000</v>
      </c>
      <c r="BN2" s="55">
        <v>6531400</v>
      </c>
      <c r="BO2" s="55">
        <v>890000</v>
      </c>
      <c r="BP2" s="55">
        <v>24452360</v>
      </c>
      <c r="BQ2" s="55">
        <v>0</v>
      </c>
      <c r="BR2" s="55">
        <v>414000</v>
      </c>
      <c r="BS2" s="55">
        <v>167200</v>
      </c>
      <c r="BT2" s="55">
        <v>6109268</v>
      </c>
      <c r="BU2" s="55">
        <v>0</v>
      </c>
      <c r="BV2" s="55">
        <v>3295855</v>
      </c>
      <c r="BW2" s="55">
        <v>213600</v>
      </c>
      <c r="BX2" s="55">
        <v>311765</v>
      </c>
      <c r="BY2" s="55">
        <v>174000</v>
      </c>
      <c r="BZ2" s="55">
        <v>128654</v>
      </c>
      <c r="CA2" s="55">
        <v>0</v>
      </c>
      <c r="CB2" s="55">
        <v>7954943</v>
      </c>
      <c r="CC2" s="55">
        <v>2552672</v>
      </c>
      <c r="CD2" s="55">
        <v>1732290</v>
      </c>
      <c r="CE2" s="55">
        <v>358499</v>
      </c>
      <c r="CF2" s="55">
        <v>4446915</v>
      </c>
      <c r="CG2" s="55">
        <v>8958075</v>
      </c>
      <c r="CH2" s="55">
        <v>2658100</v>
      </c>
      <c r="CI2" s="55">
        <v>13343518</v>
      </c>
      <c r="CJ2" s="55">
        <v>168000</v>
      </c>
      <c r="CK2" s="55">
        <v>107700</v>
      </c>
      <c r="CL2" s="55">
        <v>0</v>
      </c>
      <c r="CM2" s="55">
        <v>681000</v>
      </c>
      <c r="CN2" s="55">
        <v>231200</v>
      </c>
      <c r="CO2" s="55">
        <v>287800</v>
      </c>
      <c r="CP2" s="55">
        <v>18180000</v>
      </c>
      <c r="CQ2" s="55">
        <v>2945360</v>
      </c>
      <c r="CR2" s="55">
        <v>96400</v>
      </c>
      <c r="CS2" s="55">
        <v>11543493</v>
      </c>
      <c r="CT2" s="55">
        <v>0</v>
      </c>
      <c r="CU2" s="55">
        <v>403115</v>
      </c>
      <c r="CV2" s="55">
        <v>0</v>
      </c>
      <c r="CW2" s="55">
        <v>39620</v>
      </c>
      <c r="CX2" s="55">
        <v>9109504</v>
      </c>
    </row>
    <row r="3" spans="1:102" x14ac:dyDescent="0.35">
      <c r="A3" t="s">
        <v>708</v>
      </c>
      <c r="B3">
        <v>2018</v>
      </c>
      <c r="C3">
        <v>1076698544</v>
      </c>
      <c r="D3">
        <v>15786.18672544569</v>
      </c>
      <c r="E3">
        <v>2763.8184644393773</v>
      </c>
      <c r="F3">
        <v>7229.1795310106172</v>
      </c>
      <c r="G3">
        <v>1810.7823435142568</v>
      </c>
      <c r="H3">
        <v>873.21918388207189</v>
      </c>
      <c r="I3">
        <v>10886.700890949029</v>
      </c>
      <c r="J3">
        <v>7932.7017598110351</v>
      </c>
      <c r="K3">
        <v>11993.7476824765</v>
      </c>
      <c r="L3">
        <v>3354.9283995002297</v>
      </c>
      <c r="M3">
        <v>5179.1492233629469</v>
      </c>
      <c r="N3">
        <v>4971.0904737229121</v>
      </c>
      <c r="O3">
        <v>25249.09291710789</v>
      </c>
      <c r="P3">
        <v>4932.3001425278981</v>
      </c>
      <c r="Q3">
        <v>2933.9186657639229</v>
      </c>
      <c r="R3">
        <v>9782.3848934667476</v>
      </c>
      <c r="S3">
        <v>4564.7607711235523</v>
      </c>
      <c r="T3">
        <v>4086.6738623632709</v>
      </c>
      <c r="U3">
        <v>7555.7171945093787</v>
      </c>
      <c r="V3">
        <v>-2020.015166710532</v>
      </c>
      <c r="Y3">
        <v>21871.1</v>
      </c>
      <c r="Z3">
        <v>129866.33795826678</v>
      </c>
      <c r="AA3" s="55">
        <v>192197828</v>
      </c>
      <c r="AB3" s="55">
        <v>0</v>
      </c>
      <c r="AC3" s="55">
        <v>0</v>
      </c>
      <c r="AD3" s="55">
        <v>25084910</v>
      </c>
      <c r="AE3" s="55">
        <v>24661659</v>
      </c>
      <c r="AF3" s="55">
        <v>0</v>
      </c>
      <c r="AG3" s="55">
        <v>323200</v>
      </c>
      <c r="AH3" s="55">
        <v>0</v>
      </c>
      <c r="AI3" s="55">
        <v>1283450</v>
      </c>
      <c r="AJ3" s="55">
        <v>0</v>
      </c>
      <c r="AK3" s="55">
        <v>0</v>
      </c>
      <c r="AL3" s="55">
        <v>14654284</v>
      </c>
      <c r="AM3" s="55">
        <v>0</v>
      </c>
      <c r="AN3" s="55">
        <v>502700</v>
      </c>
      <c r="AO3" s="55">
        <v>4470350</v>
      </c>
      <c r="AP3" s="55">
        <v>106785555</v>
      </c>
      <c r="AQ3" s="55">
        <v>0</v>
      </c>
      <c r="AR3" s="55">
        <v>0</v>
      </c>
      <c r="AS3" s="55">
        <v>0</v>
      </c>
      <c r="AT3" s="55">
        <v>44617421</v>
      </c>
      <c r="AU3" s="55">
        <v>0</v>
      </c>
      <c r="AV3" s="55">
        <v>22114542</v>
      </c>
      <c r="AW3" s="55">
        <v>0</v>
      </c>
      <c r="AX3" s="55">
        <v>0</v>
      </c>
      <c r="AY3" s="55">
        <v>8268761</v>
      </c>
      <c r="AZ3" s="55">
        <v>0</v>
      </c>
      <c r="BA3" s="55">
        <v>0</v>
      </c>
      <c r="BB3" s="55">
        <v>32356663</v>
      </c>
      <c r="BC3" s="55">
        <v>0</v>
      </c>
      <c r="BD3" s="55">
        <v>0</v>
      </c>
      <c r="BE3" s="55">
        <v>100000</v>
      </c>
      <c r="BF3" s="55">
        <v>25730600</v>
      </c>
      <c r="BG3" s="55">
        <v>0</v>
      </c>
      <c r="BH3" s="55">
        <v>0</v>
      </c>
      <c r="BI3" s="55">
        <v>0</v>
      </c>
      <c r="BJ3" s="55">
        <v>16889170</v>
      </c>
      <c r="BK3" s="55">
        <v>0</v>
      </c>
      <c r="BL3" s="55">
        <v>123978619</v>
      </c>
      <c r="BM3" s="55">
        <v>0</v>
      </c>
      <c r="BN3" s="55">
        <v>0</v>
      </c>
      <c r="BO3" s="55">
        <v>0</v>
      </c>
      <c r="BP3" s="55">
        <v>41351240</v>
      </c>
      <c r="BQ3" s="55">
        <v>0</v>
      </c>
      <c r="BR3" s="55">
        <v>0</v>
      </c>
      <c r="BS3" s="55">
        <v>0</v>
      </c>
      <c r="BT3" s="55">
        <v>21527640.000000007</v>
      </c>
      <c r="BU3" s="55">
        <v>0</v>
      </c>
      <c r="BV3" s="55">
        <v>8276480</v>
      </c>
      <c r="BW3" s="55">
        <v>0</v>
      </c>
      <c r="BX3" s="55">
        <v>0</v>
      </c>
      <c r="BY3" s="55">
        <v>0</v>
      </c>
      <c r="BZ3" s="55">
        <v>0</v>
      </c>
      <c r="CA3" s="55">
        <v>0</v>
      </c>
      <c r="CB3" s="55">
        <v>14486767</v>
      </c>
      <c r="CC3" s="55">
        <v>9501343</v>
      </c>
      <c r="CD3" s="55">
        <v>2898450</v>
      </c>
      <c r="CE3" s="55">
        <v>0</v>
      </c>
      <c r="CF3" s="55">
        <v>21308637</v>
      </c>
      <c r="CG3" s="55">
        <v>661800</v>
      </c>
      <c r="CH3" s="55">
        <v>0</v>
      </c>
      <c r="CI3" s="55">
        <v>64500953</v>
      </c>
      <c r="CJ3" s="55">
        <v>0</v>
      </c>
      <c r="CK3" s="55">
        <v>26999720</v>
      </c>
      <c r="CL3" s="55">
        <v>0</v>
      </c>
      <c r="CM3" s="55">
        <v>0</v>
      </c>
      <c r="CN3" s="55">
        <v>119280</v>
      </c>
      <c r="CO3" s="55">
        <v>1185200</v>
      </c>
      <c r="CP3" s="55">
        <v>2565500</v>
      </c>
      <c r="CQ3" s="55">
        <v>20982820</v>
      </c>
      <c r="CR3" s="55">
        <v>1137800</v>
      </c>
      <c r="CS3" s="55">
        <v>33106420</v>
      </c>
      <c r="CT3" s="55">
        <v>0</v>
      </c>
      <c r="CU3" s="55">
        <v>2627010</v>
      </c>
      <c r="CV3" s="55">
        <v>7795477</v>
      </c>
      <c r="CW3" s="55">
        <v>1555640</v>
      </c>
      <c r="CX3" s="55">
        <v>5945669</v>
      </c>
    </row>
    <row r="4" spans="1:102" x14ac:dyDescent="0.35">
      <c r="A4" t="s">
        <v>708</v>
      </c>
      <c r="B4">
        <v>2019</v>
      </c>
      <c r="C4">
        <v>709960792</v>
      </c>
      <c r="W4">
        <v>1117840</v>
      </c>
      <c r="Y4">
        <v>21871.1</v>
      </c>
      <c r="Z4">
        <v>143156</v>
      </c>
      <c r="AA4" s="55">
        <v>272454700</v>
      </c>
      <c r="AB4" s="55">
        <v>0</v>
      </c>
      <c r="AC4" s="55">
        <v>0</v>
      </c>
      <c r="AD4" s="55">
        <v>17967155</v>
      </c>
      <c r="AE4" s="55">
        <v>19538800</v>
      </c>
      <c r="AF4" s="55">
        <v>3971960</v>
      </c>
      <c r="AG4" s="55">
        <v>2100585</v>
      </c>
      <c r="AH4" s="55">
        <v>0</v>
      </c>
      <c r="AI4" s="55">
        <v>1748100</v>
      </c>
      <c r="AJ4" s="55">
        <v>0</v>
      </c>
      <c r="AK4" s="55">
        <v>0</v>
      </c>
      <c r="AL4" s="55">
        <v>45487547</v>
      </c>
      <c r="AM4" s="55">
        <v>0</v>
      </c>
      <c r="AN4" s="55">
        <v>1644900</v>
      </c>
      <c r="AO4" s="55">
        <v>1649340</v>
      </c>
      <c r="AP4" s="55">
        <v>107741385</v>
      </c>
      <c r="AQ4" s="55">
        <v>0</v>
      </c>
      <c r="AR4" s="55">
        <v>335000</v>
      </c>
      <c r="AS4" s="55">
        <v>0</v>
      </c>
      <c r="AT4" s="55">
        <v>11113230</v>
      </c>
      <c r="AU4" s="55">
        <v>0</v>
      </c>
      <c r="AV4" s="55">
        <v>26650123</v>
      </c>
      <c r="AW4" s="55">
        <v>0</v>
      </c>
      <c r="AX4" s="55">
        <v>0</v>
      </c>
      <c r="AY4" s="55">
        <v>8657361.5</v>
      </c>
      <c r="AZ4" s="55">
        <v>0</v>
      </c>
      <c r="BA4" s="55">
        <v>0</v>
      </c>
      <c r="BB4" s="55">
        <v>17350000</v>
      </c>
      <c r="BC4" s="55">
        <v>0</v>
      </c>
      <c r="BD4" s="55">
        <v>0</v>
      </c>
      <c r="BE4" s="55">
        <v>0</v>
      </c>
      <c r="BF4" s="55">
        <v>43211979</v>
      </c>
      <c r="BG4" s="55">
        <v>0</v>
      </c>
      <c r="BH4" s="55">
        <v>0</v>
      </c>
      <c r="BI4" s="55">
        <v>0</v>
      </c>
      <c r="BJ4" s="55">
        <v>17265100</v>
      </c>
      <c r="BK4" s="55">
        <v>0</v>
      </c>
      <c r="BL4" s="55">
        <v>136814367</v>
      </c>
      <c r="BM4" s="55">
        <v>0</v>
      </c>
      <c r="BN4" s="55">
        <v>0</v>
      </c>
      <c r="BO4" s="55">
        <v>0</v>
      </c>
      <c r="BP4" s="55">
        <v>25576750</v>
      </c>
      <c r="BQ4" s="55">
        <v>0</v>
      </c>
      <c r="BR4" s="55">
        <v>0</v>
      </c>
      <c r="BS4" s="55">
        <v>0</v>
      </c>
      <c r="BT4" s="55">
        <v>22468199</v>
      </c>
      <c r="BU4" s="55">
        <v>0</v>
      </c>
      <c r="BV4" s="55">
        <v>0</v>
      </c>
      <c r="BW4" s="55">
        <v>0</v>
      </c>
      <c r="BX4" s="55">
        <v>0</v>
      </c>
      <c r="BY4" s="55">
        <v>0</v>
      </c>
      <c r="BZ4" s="55">
        <v>0</v>
      </c>
      <c r="CA4" s="55">
        <v>0</v>
      </c>
      <c r="CB4" s="55">
        <v>10622185</v>
      </c>
      <c r="CC4" s="55">
        <v>14528355</v>
      </c>
      <c r="CD4" s="55">
        <v>1251550</v>
      </c>
      <c r="CE4" s="55">
        <v>0</v>
      </c>
      <c r="CF4" s="55">
        <v>21600104</v>
      </c>
      <c r="CG4" s="55">
        <v>492210</v>
      </c>
      <c r="CH4" s="55">
        <v>0</v>
      </c>
      <c r="CI4" s="55">
        <v>62129986</v>
      </c>
      <c r="CJ4" s="55">
        <v>0</v>
      </c>
      <c r="CK4" s="55">
        <v>0</v>
      </c>
      <c r="CL4" s="55">
        <v>0</v>
      </c>
      <c r="CM4" s="55">
        <v>0</v>
      </c>
      <c r="CN4" s="55">
        <v>125610</v>
      </c>
      <c r="CO4" s="55">
        <v>131300</v>
      </c>
      <c r="CP4" s="55">
        <v>26706654</v>
      </c>
      <c r="CQ4" s="55">
        <v>4074100</v>
      </c>
      <c r="CR4" s="55">
        <v>0</v>
      </c>
      <c r="CS4" s="55">
        <v>7254500</v>
      </c>
      <c r="CT4" s="55">
        <v>0</v>
      </c>
      <c r="CU4" s="55">
        <v>1229115</v>
      </c>
      <c r="CV4" s="55">
        <v>8614455</v>
      </c>
      <c r="CW4" s="55">
        <v>925100</v>
      </c>
      <c r="CX4" s="55">
        <v>32930</v>
      </c>
    </row>
    <row r="5" spans="1:102" x14ac:dyDescent="0.35">
      <c r="A5" t="s">
        <v>708</v>
      </c>
      <c r="B5">
        <v>2020</v>
      </c>
      <c r="C5">
        <v>862730853</v>
      </c>
      <c r="D5">
        <v>21957</v>
      </c>
      <c r="E5">
        <v>3223</v>
      </c>
      <c r="F5">
        <v>7691</v>
      </c>
      <c r="G5">
        <v>2005</v>
      </c>
      <c r="H5">
        <v>825</v>
      </c>
      <c r="I5">
        <v>14971</v>
      </c>
      <c r="J5">
        <v>8417</v>
      </c>
      <c r="K5">
        <v>14034</v>
      </c>
      <c r="L5">
        <v>2611</v>
      </c>
      <c r="M5">
        <v>6076</v>
      </c>
      <c r="N5">
        <v>4407</v>
      </c>
      <c r="O5">
        <v>28511</v>
      </c>
      <c r="P5">
        <v>4798</v>
      </c>
      <c r="Q5">
        <v>2790</v>
      </c>
      <c r="R5">
        <v>12688</v>
      </c>
      <c r="S5">
        <v>5299</v>
      </c>
      <c r="T5">
        <v>5268</v>
      </c>
      <c r="U5">
        <v>7281</v>
      </c>
      <c r="V5">
        <v>-2143</v>
      </c>
      <c r="W5">
        <v>1178759</v>
      </c>
      <c r="Y5">
        <v>21871.1</v>
      </c>
      <c r="Z5">
        <v>150709</v>
      </c>
      <c r="AA5" s="55">
        <v>125039765</v>
      </c>
      <c r="AB5" s="55">
        <v>0</v>
      </c>
      <c r="AC5" s="55">
        <v>0</v>
      </c>
      <c r="AD5" s="55">
        <v>19035610</v>
      </c>
      <c r="AE5" s="55">
        <v>17185860</v>
      </c>
      <c r="AF5" s="55">
        <v>1555840</v>
      </c>
      <c r="AG5" s="55">
        <v>321000</v>
      </c>
      <c r="AH5" s="55">
        <v>0</v>
      </c>
      <c r="AI5" s="55">
        <v>1117400</v>
      </c>
      <c r="AJ5" s="55">
        <v>0</v>
      </c>
      <c r="AK5" s="55">
        <v>0</v>
      </c>
      <c r="AL5" s="55">
        <v>40724996</v>
      </c>
      <c r="AM5" s="55">
        <v>0</v>
      </c>
      <c r="AN5" s="55">
        <v>2100400</v>
      </c>
      <c r="AO5" s="55">
        <v>4797450</v>
      </c>
      <c r="AP5" s="55">
        <v>96629300</v>
      </c>
      <c r="AQ5" s="55">
        <v>0</v>
      </c>
      <c r="AR5" s="55">
        <v>1013455</v>
      </c>
      <c r="AS5" s="55">
        <v>0</v>
      </c>
      <c r="AT5" s="55">
        <v>8726305</v>
      </c>
      <c r="AU5" s="55">
        <v>0</v>
      </c>
      <c r="AV5" s="55">
        <v>28953164</v>
      </c>
      <c r="AW5" s="55">
        <v>0</v>
      </c>
      <c r="AX5" s="55">
        <v>0</v>
      </c>
      <c r="AY5" s="55">
        <v>6302910</v>
      </c>
      <c r="AZ5" s="55">
        <v>0</v>
      </c>
      <c r="BA5" s="55">
        <v>0</v>
      </c>
      <c r="BB5" s="55">
        <v>4617655</v>
      </c>
      <c r="BC5" s="55">
        <v>0</v>
      </c>
      <c r="BD5" s="55">
        <v>0</v>
      </c>
      <c r="BE5" s="55">
        <v>23000</v>
      </c>
      <c r="BF5" s="55">
        <v>42837054</v>
      </c>
      <c r="BG5" s="55">
        <v>0</v>
      </c>
      <c r="BH5" s="55">
        <v>0</v>
      </c>
      <c r="BI5" s="55">
        <v>0</v>
      </c>
      <c r="BJ5" s="55">
        <v>20735606</v>
      </c>
      <c r="BK5" s="55">
        <v>0</v>
      </c>
      <c r="BL5" s="55">
        <v>56862510</v>
      </c>
      <c r="BM5" s="55">
        <v>0</v>
      </c>
      <c r="BN5" s="55">
        <v>0</v>
      </c>
      <c r="BO5" s="55">
        <v>0</v>
      </c>
      <c r="BP5" s="55">
        <v>49667850</v>
      </c>
      <c r="BQ5" s="55">
        <v>0</v>
      </c>
      <c r="BR5" s="55">
        <v>0</v>
      </c>
      <c r="BS5" s="55">
        <v>0</v>
      </c>
      <c r="BT5" s="55">
        <v>18155010</v>
      </c>
      <c r="BU5" s="55">
        <v>0</v>
      </c>
      <c r="BV5" s="55">
        <v>0</v>
      </c>
      <c r="BW5" s="55">
        <v>0</v>
      </c>
      <c r="BX5" s="55">
        <v>0</v>
      </c>
      <c r="BY5" s="55">
        <v>0</v>
      </c>
      <c r="BZ5" s="55">
        <v>0</v>
      </c>
      <c r="CA5" s="55">
        <v>0</v>
      </c>
      <c r="CB5" s="55">
        <v>10294980</v>
      </c>
      <c r="CC5" s="55">
        <v>15127969</v>
      </c>
      <c r="CD5" s="55">
        <v>535500</v>
      </c>
      <c r="CE5" s="55">
        <v>0</v>
      </c>
      <c r="CF5" s="55">
        <v>13381588</v>
      </c>
      <c r="CG5" s="55">
        <v>464900</v>
      </c>
      <c r="CH5" s="55">
        <v>0</v>
      </c>
      <c r="CI5" s="55">
        <v>68647977</v>
      </c>
      <c r="CJ5" s="55">
        <v>0</v>
      </c>
      <c r="CK5" s="55">
        <v>0</v>
      </c>
      <c r="CL5" s="55">
        <v>0</v>
      </c>
      <c r="CM5" s="55">
        <v>0</v>
      </c>
      <c r="CN5" s="55">
        <v>0</v>
      </c>
      <c r="CO5" s="55">
        <v>287700</v>
      </c>
      <c r="CP5" s="55">
        <v>6450000</v>
      </c>
      <c r="CQ5" s="55">
        <v>6206830</v>
      </c>
      <c r="CR5" s="55">
        <v>0</v>
      </c>
      <c r="CS5" s="55">
        <v>2963150</v>
      </c>
      <c r="CT5" s="55">
        <v>0</v>
      </c>
      <c r="CU5" s="55">
        <v>2904350</v>
      </c>
      <c r="CV5" s="55">
        <v>7880850</v>
      </c>
      <c r="CW5" s="55">
        <v>854100</v>
      </c>
      <c r="CX5" s="55">
        <v>0</v>
      </c>
    </row>
    <row r="6" spans="1:102" x14ac:dyDescent="0.35">
      <c r="A6" t="s">
        <v>708</v>
      </c>
      <c r="B6">
        <v>2021</v>
      </c>
      <c r="C6">
        <v>553757131</v>
      </c>
      <c r="D6">
        <v>12916</v>
      </c>
      <c r="E6">
        <v>3881</v>
      </c>
      <c r="F6">
        <v>9073</v>
      </c>
      <c r="G6">
        <v>2550</v>
      </c>
      <c r="H6">
        <v>815</v>
      </c>
      <c r="I6">
        <v>16972</v>
      </c>
      <c r="J6">
        <v>9209</v>
      </c>
      <c r="K6">
        <v>18967</v>
      </c>
      <c r="L6">
        <v>4484</v>
      </c>
      <c r="M6">
        <v>6347</v>
      </c>
      <c r="N6">
        <v>5250</v>
      </c>
      <c r="O6">
        <v>30655</v>
      </c>
      <c r="P6">
        <v>5393</v>
      </c>
      <c r="Q6">
        <v>3179</v>
      </c>
      <c r="R6">
        <v>11654</v>
      </c>
      <c r="S6">
        <v>6639</v>
      </c>
      <c r="T6">
        <v>5688</v>
      </c>
      <c r="U6">
        <v>8150</v>
      </c>
      <c r="V6">
        <v>-2086</v>
      </c>
      <c r="W6">
        <v>1208593</v>
      </c>
      <c r="Y6">
        <v>21871.1</v>
      </c>
      <c r="Z6">
        <v>159737</v>
      </c>
      <c r="AA6" s="55">
        <v>137003772</v>
      </c>
      <c r="AB6" s="55">
        <v>0</v>
      </c>
      <c r="AC6" s="55">
        <v>0</v>
      </c>
      <c r="AD6" s="55">
        <v>45211655</v>
      </c>
      <c r="AE6" s="55">
        <v>25176219</v>
      </c>
      <c r="AF6" s="55">
        <v>955037</v>
      </c>
      <c r="AG6" s="55">
        <v>0</v>
      </c>
      <c r="AH6" s="55">
        <v>0</v>
      </c>
      <c r="AI6" s="55">
        <v>1440621</v>
      </c>
      <c r="AJ6" s="55">
        <v>0</v>
      </c>
      <c r="AK6" s="55">
        <v>0</v>
      </c>
      <c r="AL6" s="55">
        <v>43589022</v>
      </c>
      <c r="AM6" s="55">
        <v>0</v>
      </c>
      <c r="AN6" s="55">
        <v>2453144</v>
      </c>
      <c r="AO6" s="55">
        <v>3904609</v>
      </c>
      <c r="AP6" s="55">
        <v>81958200</v>
      </c>
      <c r="AQ6" s="55">
        <v>0</v>
      </c>
      <c r="AR6" s="55">
        <v>0</v>
      </c>
      <c r="AS6" s="55">
        <v>0</v>
      </c>
      <c r="AT6" s="55">
        <v>18835580</v>
      </c>
      <c r="AU6" s="55">
        <v>0</v>
      </c>
      <c r="AV6" s="55">
        <v>30273962</v>
      </c>
      <c r="AW6" s="55">
        <v>0</v>
      </c>
      <c r="AX6" s="55">
        <v>0</v>
      </c>
      <c r="AY6" s="55">
        <v>0</v>
      </c>
      <c r="AZ6" s="55">
        <v>0</v>
      </c>
      <c r="BA6" s="55">
        <v>0</v>
      </c>
      <c r="BB6" s="55">
        <v>6346560</v>
      </c>
      <c r="BC6" s="55">
        <v>0</v>
      </c>
      <c r="BD6" s="55">
        <v>0</v>
      </c>
      <c r="BE6" s="55">
        <v>0</v>
      </c>
      <c r="BF6" s="55">
        <v>56007277</v>
      </c>
      <c r="BG6" s="55">
        <v>0</v>
      </c>
      <c r="BH6" s="55">
        <v>0</v>
      </c>
      <c r="BI6" s="55">
        <v>0</v>
      </c>
      <c r="BJ6" s="55">
        <v>33232009</v>
      </c>
      <c r="BK6" s="55">
        <v>0</v>
      </c>
      <c r="BL6" s="55">
        <v>79155765</v>
      </c>
      <c r="BM6" s="55">
        <v>0</v>
      </c>
      <c r="BN6" s="55">
        <v>0</v>
      </c>
      <c r="BO6" s="55">
        <v>0</v>
      </c>
      <c r="BP6" s="55">
        <v>33665405</v>
      </c>
      <c r="BQ6" s="55">
        <v>0</v>
      </c>
      <c r="BR6" s="55">
        <v>0</v>
      </c>
      <c r="BS6" s="55">
        <v>0</v>
      </c>
      <c r="BT6" s="55">
        <v>22438249</v>
      </c>
      <c r="BU6" s="55">
        <v>0</v>
      </c>
      <c r="BV6" s="55">
        <v>0</v>
      </c>
      <c r="BW6" s="55">
        <v>0</v>
      </c>
      <c r="BX6" s="55">
        <v>0</v>
      </c>
      <c r="BY6" s="55">
        <v>0</v>
      </c>
      <c r="BZ6" s="55">
        <v>0</v>
      </c>
      <c r="CA6" s="55">
        <v>0</v>
      </c>
      <c r="CB6" s="55">
        <v>9806645</v>
      </c>
      <c r="CC6" s="55">
        <v>14447393</v>
      </c>
      <c r="CD6" s="55">
        <v>0</v>
      </c>
      <c r="CE6" s="55">
        <v>0</v>
      </c>
      <c r="CF6" s="55">
        <v>21685751</v>
      </c>
      <c r="CG6" s="55">
        <v>1721685</v>
      </c>
      <c r="CH6" s="55">
        <v>0</v>
      </c>
      <c r="CI6" s="55">
        <v>47832112</v>
      </c>
      <c r="CJ6" s="55">
        <v>0</v>
      </c>
      <c r="CK6" s="55">
        <v>0</v>
      </c>
      <c r="CL6" s="55">
        <v>0</v>
      </c>
      <c r="CM6" s="55">
        <v>0</v>
      </c>
      <c r="CN6" s="55">
        <v>0</v>
      </c>
      <c r="CO6" s="55">
        <v>261600</v>
      </c>
      <c r="CP6" s="55">
        <v>8441921</v>
      </c>
      <c r="CQ6" s="55">
        <v>0</v>
      </c>
      <c r="CR6" s="55">
        <v>0</v>
      </c>
      <c r="CS6" s="55">
        <v>0</v>
      </c>
      <c r="CT6" s="55">
        <v>0</v>
      </c>
      <c r="CU6" s="55">
        <v>0</v>
      </c>
      <c r="CV6" s="55">
        <v>5022843</v>
      </c>
      <c r="CW6" s="55">
        <v>0</v>
      </c>
      <c r="CX6" s="55">
        <v>0</v>
      </c>
    </row>
    <row r="7" spans="1:102" x14ac:dyDescent="0.35">
      <c r="A7" t="s">
        <v>708</v>
      </c>
      <c r="B7">
        <v>2022</v>
      </c>
      <c r="C7">
        <v>875281130</v>
      </c>
      <c r="D7">
        <v>16966</v>
      </c>
      <c r="E7">
        <v>5036</v>
      </c>
      <c r="F7">
        <v>10751</v>
      </c>
      <c r="G7">
        <v>5857</v>
      </c>
      <c r="H7">
        <v>818</v>
      </c>
      <c r="I7">
        <v>19038</v>
      </c>
      <c r="J7">
        <v>10370</v>
      </c>
      <c r="K7">
        <v>24045</v>
      </c>
      <c r="L7">
        <v>4942</v>
      </c>
      <c r="M7">
        <v>7010</v>
      </c>
      <c r="N7">
        <v>6142</v>
      </c>
      <c r="O7">
        <v>32857</v>
      </c>
      <c r="P7">
        <v>5656</v>
      </c>
      <c r="Q7">
        <v>3928</v>
      </c>
      <c r="R7">
        <v>14881</v>
      </c>
      <c r="S7">
        <v>6991</v>
      </c>
      <c r="T7">
        <v>5544</v>
      </c>
      <c r="U7">
        <v>8811</v>
      </c>
      <c r="V7">
        <v>-2230</v>
      </c>
      <c r="W7">
        <v>1238427</v>
      </c>
      <c r="X7">
        <v>563485</v>
      </c>
      <c r="Y7">
        <v>21871.1</v>
      </c>
      <c r="Z7">
        <v>187411</v>
      </c>
      <c r="AA7" s="55">
        <v>254506146</v>
      </c>
      <c r="AB7" s="55">
        <v>0</v>
      </c>
      <c r="AC7" s="55">
        <v>0</v>
      </c>
      <c r="AD7" s="55">
        <v>21746623</v>
      </c>
      <c r="AE7" s="55">
        <v>20358978</v>
      </c>
      <c r="AF7" s="55">
        <v>2200440</v>
      </c>
      <c r="AG7" s="55">
        <v>0</v>
      </c>
      <c r="AH7" s="55">
        <v>0</v>
      </c>
      <c r="AI7" s="55">
        <v>1977225</v>
      </c>
      <c r="AJ7" s="55">
        <v>0</v>
      </c>
      <c r="AK7" s="55">
        <v>0</v>
      </c>
      <c r="AL7" s="55">
        <v>50614289</v>
      </c>
      <c r="AM7" s="55">
        <v>0</v>
      </c>
      <c r="AN7" s="55">
        <v>2516600</v>
      </c>
      <c r="AO7" s="55">
        <v>9017800</v>
      </c>
      <c r="AP7" s="55">
        <v>75540500</v>
      </c>
      <c r="AQ7" s="55">
        <v>0</v>
      </c>
      <c r="AR7" s="55">
        <v>0</v>
      </c>
      <c r="AS7" s="55">
        <v>0</v>
      </c>
      <c r="AT7" s="55">
        <v>12945771.08</v>
      </c>
      <c r="AU7" s="55">
        <v>0</v>
      </c>
      <c r="AV7" s="55">
        <v>30317222</v>
      </c>
      <c r="AW7" s="55">
        <v>0</v>
      </c>
      <c r="AX7" s="55">
        <v>0</v>
      </c>
      <c r="AY7" s="55">
        <v>0</v>
      </c>
      <c r="AZ7" s="55">
        <v>0</v>
      </c>
      <c r="BA7" s="55">
        <v>0</v>
      </c>
      <c r="BB7" s="55">
        <v>6126073</v>
      </c>
      <c r="BC7" s="55">
        <v>0</v>
      </c>
      <c r="BD7" s="55">
        <v>0</v>
      </c>
      <c r="BE7" s="55">
        <v>0</v>
      </c>
      <c r="BF7" s="55">
        <v>31670771</v>
      </c>
      <c r="BG7" s="55">
        <v>0</v>
      </c>
      <c r="BH7" s="55">
        <v>0</v>
      </c>
      <c r="BI7" s="55">
        <v>0</v>
      </c>
      <c r="BJ7" s="55">
        <v>31331533</v>
      </c>
      <c r="BK7" s="55">
        <v>0</v>
      </c>
      <c r="BL7" s="55">
        <v>46529857.799999997</v>
      </c>
      <c r="BM7" s="55">
        <v>0</v>
      </c>
      <c r="BN7" s="55">
        <v>0</v>
      </c>
      <c r="BO7" s="55">
        <v>0</v>
      </c>
      <c r="BP7" s="55">
        <v>80941800</v>
      </c>
      <c r="BQ7" s="55">
        <v>0</v>
      </c>
      <c r="BR7" s="55">
        <v>0</v>
      </c>
      <c r="BS7" s="55">
        <v>0</v>
      </c>
      <c r="BT7" s="55">
        <v>27255414</v>
      </c>
      <c r="BU7" s="55">
        <v>0</v>
      </c>
      <c r="BV7" s="55">
        <v>0</v>
      </c>
      <c r="BW7" s="55">
        <v>0</v>
      </c>
      <c r="BX7" s="55">
        <v>0</v>
      </c>
      <c r="BY7" s="55">
        <v>0</v>
      </c>
      <c r="BZ7" s="55">
        <v>0</v>
      </c>
      <c r="CA7" s="55">
        <v>0</v>
      </c>
      <c r="CB7" s="55">
        <v>5832555</v>
      </c>
      <c r="CC7" s="55">
        <v>13189115</v>
      </c>
      <c r="CD7" s="55">
        <v>0</v>
      </c>
      <c r="CE7" s="55">
        <v>0</v>
      </c>
      <c r="CF7" s="55">
        <v>29590591</v>
      </c>
      <c r="CG7" s="55">
        <v>872373</v>
      </c>
      <c r="CH7" s="55">
        <v>0</v>
      </c>
      <c r="CI7" s="55">
        <v>62001499.706672706</v>
      </c>
      <c r="CJ7" s="55">
        <v>0</v>
      </c>
      <c r="CK7" s="55">
        <v>0</v>
      </c>
      <c r="CL7" s="55">
        <v>0</v>
      </c>
      <c r="CM7" s="55">
        <v>0</v>
      </c>
      <c r="CN7" s="55">
        <v>0</v>
      </c>
      <c r="CO7" s="55">
        <v>3663100</v>
      </c>
      <c r="CP7" s="55">
        <v>518500</v>
      </c>
      <c r="CQ7" s="55">
        <v>0</v>
      </c>
      <c r="CR7" s="55">
        <v>0</v>
      </c>
      <c r="CS7" s="55">
        <v>0</v>
      </c>
      <c r="CT7" s="55">
        <v>0</v>
      </c>
      <c r="CU7" s="55">
        <v>0</v>
      </c>
      <c r="CV7" s="55">
        <v>10292901</v>
      </c>
      <c r="CW7" s="55">
        <v>0</v>
      </c>
      <c r="CX7" s="55">
        <v>13500</v>
      </c>
    </row>
    <row r="8" spans="1:102" x14ac:dyDescent="0.35">
      <c r="A8" t="s">
        <v>708</v>
      </c>
      <c r="B8">
        <v>2023</v>
      </c>
      <c r="C8">
        <v>221628</v>
      </c>
      <c r="D8">
        <v>32213</v>
      </c>
      <c r="E8">
        <v>4361</v>
      </c>
      <c r="F8">
        <v>12649</v>
      </c>
      <c r="G8">
        <v>8424</v>
      </c>
      <c r="H8">
        <v>695</v>
      </c>
      <c r="I8">
        <v>20047</v>
      </c>
      <c r="J8">
        <v>11510</v>
      </c>
      <c r="K8">
        <v>28519</v>
      </c>
      <c r="L8">
        <v>6400</v>
      </c>
      <c r="M8">
        <v>7414</v>
      </c>
      <c r="N8">
        <v>7166</v>
      </c>
      <c r="O8">
        <v>35923</v>
      </c>
      <c r="P8">
        <v>6200</v>
      </c>
      <c r="Q8">
        <v>4653</v>
      </c>
      <c r="R8">
        <v>15278</v>
      </c>
      <c r="S8">
        <v>7733</v>
      </c>
      <c r="T8">
        <v>6062</v>
      </c>
      <c r="U8">
        <v>9554</v>
      </c>
      <c r="V8">
        <v>-3175</v>
      </c>
      <c r="W8">
        <v>1268261</v>
      </c>
      <c r="Y8">
        <v>21871.1</v>
      </c>
      <c r="AA8" s="55">
        <v>35892780</v>
      </c>
      <c r="AB8" s="55">
        <v>0</v>
      </c>
      <c r="AC8" s="55">
        <v>0</v>
      </c>
      <c r="AD8" s="55">
        <v>25550567.600000001</v>
      </c>
      <c r="AE8" s="55">
        <v>21056160</v>
      </c>
      <c r="AF8" s="55">
        <v>642360</v>
      </c>
      <c r="AG8" s="55">
        <v>0</v>
      </c>
      <c r="AH8" s="55">
        <v>0</v>
      </c>
      <c r="AI8" s="55">
        <v>1921200</v>
      </c>
      <c r="AJ8" s="55">
        <v>0</v>
      </c>
      <c r="AK8" s="55">
        <v>0</v>
      </c>
      <c r="AL8" s="55">
        <v>16552560</v>
      </c>
      <c r="AM8" s="55">
        <v>0</v>
      </c>
      <c r="AN8" s="55">
        <v>1551200</v>
      </c>
      <c r="AO8" s="55">
        <v>630625</v>
      </c>
      <c r="AP8" s="55">
        <v>82858850</v>
      </c>
      <c r="AQ8" s="55">
        <v>0</v>
      </c>
      <c r="AR8" s="55">
        <v>0</v>
      </c>
      <c r="AS8" s="55">
        <v>0</v>
      </c>
      <c r="AT8" s="55">
        <v>26722565</v>
      </c>
      <c r="AU8" s="55">
        <v>0</v>
      </c>
      <c r="AV8" s="55">
        <v>21476370</v>
      </c>
      <c r="AW8" s="55">
        <v>0</v>
      </c>
      <c r="AX8" s="55">
        <v>0</v>
      </c>
      <c r="AY8" s="55">
        <v>0</v>
      </c>
      <c r="AZ8" s="55">
        <v>0</v>
      </c>
      <c r="BA8" s="55">
        <v>0</v>
      </c>
      <c r="BB8" s="55">
        <v>8510100</v>
      </c>
      <c r="BC8" s="55">
        <v>0</v>
      </c>
      <c r="BD8" s="55">
        <v>0</v>
      </c>
      <c r="BE8" s="55">
        <v>100000</v>
      </c>
      <c r="BF8" s="55">
        <v>36880825.899999999</v>
      </c>
      <c r="BG8" s="55">
        <v>0</v>
      </c>
      <c r="BH8" s="55">
        <v>0</v>
      </c>
      <c r="BI8" s="55">
        <v>0</v>
      </c>
      <c r="BJ8" s="55">
        <v>26543615</v>
      </c>
      <c r="BK8" s="55">
        <v>0</v>
      </c>
      <c r="BL8" s="55">
        <v>73946890.900000006</v>
      </c>
      <c r="BM8" s="55">
        <v>0</v>
      </c>
      <c r="BN8" s="55">
        <v>0</v>
      </c>
      <c r="BO8" s="55">
        <v>0</v>
      </c>
      <c r="BP8" s="55">
        <v>22278700</v>
      </c>
      <c r="BQ8" s="55">
        <v>0</v>
      </c>
      <c r="BR8" s="55">
        <v>0</v>
      </c>
      <c r="BS8" s="55">
        <v>0</v>
      </c>
      <c r="BT8" s="55">
        <v>29299340</v>
      </c>
      <c r="BU8" s="55">
        <v>0</v>
      </c>
      <c r="BV8" s="55">
        <v>0</v>
      </c>
      <c r="BW8" s="55">
        <v>0</v>
      </c>
      <c r="BX8" s="55">
        <v>0</v>
      </c>
      <c r="BY8" s="55">
        <v>0</v>
      </c>
      <c r="BZ8" s="55">
        <v>0</v>
      </c>
      <c r="CA8" s="55">
        <v>0</v>
      </c>
      <c r="CB8" s="55">
        <v>6861625</v>
      </c>
      <c r="CC8" s="55">
        <v>19285285</v>
      </c>
      <c r="CD8" s="55">
        <v>0</v>
      </c>
      <c r="CE8" s="55">
        <v>0</v>
      </c>
      <c r="CF8" s="55">
        <v>895000</v>
      </c>
      <c r="CG8" s="55">
        <v>43000</v>
      </c>
      <c r="CH8" s="55">
        <v>0</v>
      </c>
      <c r="CI8" s="55">
        <v>62911943.316660583</v>
      </c>
      <c r="CJ8" s="55">
        <v>0</v>
      </c>
      <c r="CK8" s="55">
        <v>0</v>
      </c>
      <c r="CL8" s="55">
        <v>0</v>
      </c>
      <c r="CM8" s="55">
        <v>0</v>
      </c>
      <c r="CN8" s="55">
        <v>0</v>
      </c>
      <c r="CO8" s="55">
        <v>38000</v>
      </c>
      <c r="CP8" s="55">
        <v>33804704.980000004</v>
      </c>
      <c r="CQ8" s="55">
        <v>0</v>
      </c>
      <c r="CR8" s="55">
        <v>0</v>
      </c>
      <c r="CS8" s="55">
        <v>0</v>
      </c>
      <c r="CT8" s="55">
        <v>0</v>
      </c>
      <c r="CU8" s="55">
        <v>0</v>
      </c>
      <c r="CV8" s="55">
        <v>2534820.9500000002</v>
      </c>
      <c r="CW8" s="55">
        <v>0</v>
      </c>
      <c r="CX8" s="5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7"/>
  <sheetViews>
    <sheetView zoomScale="83" zoomScaleNormal="83" workbookViewId="0">
      <selection activeCell="AA11" sqref="AA11:AT17"/>
    </sheetView>
  </sheetViews>
  <sheetFormatPr defaultColWidth="9.1796875" defaultRowHeight="14.5" x14ac:dyDescent="0.35"/>
  <cols>
    <col min="1" max="1" width="12.54296875" style="98" bestFit="1" customWidth="1"/>
    <col min="2" max="2" width="6.26953125" style="98" bestFit="1" customWidth="1"/>
    <col min="3" max="3" width="15.26953125" style="98" hidden="1" customWidth="1"/>
    <col min="4" max="4" width="10.54296875" style="98" hidden="1" customWidth="1"/>
    <col min="5" max="5" width="9.54296875" style="98" hidden="1" customWidth="1"/>
    <col min="6" max="6" width="9.26953125" style="98" hidden="1" customWidth="1"/>
    <col min="7" max="8" width="9.54296875" style="98" hidden="1" customWidth="1"/>
    <col min="9" max="9" width="9.26953125" style="98" hidden="1" customWidth="1"/>
    <col min="10" max="10" width="9.54296875" style="98" hidden="1" customWidth="1"/>
    <col min="11" max="11" width="10.54296875" style="98" hidden="1" customWidth="1"/>
    <col min="12" max="14" width="9.26953125" style="98" hidden="1" customWidth="1"/>
    <col min="15" max="15" width="9.54296875" style="98" hidden="1" customWidth="1"/>
    <col min="16" max="17" width="9.26953125" style="98" hidden="1" customWidth="1"/>
    <col min="18" max="18" width="10.54296875" style="98" hidden="1" customWidth="1"/>
    <col min="19" max="21" width="9.54296875" style="98" hidden="1" customWidth="1"/>
    <col min="22" max="22" width="9.26953125" style="98" hidden="1" customWidth="1"/>
    <col min="23" max="24" width="11.54296875" style="98" hidden="1" customWidth="1"/>
    <col min="25" max="25" width="9.54296875" style="98" hidden="1" customWidth="1"/>
    <col min="26" max="26" width="16" style="98" hidden="1" customWidth="1"/>
    <col min="27" max="27" width="17.1796875" style="98" bestFit="1" customWidth="1"/>
    <col min="28" max="28" width="14.453125" style="98" bestFit="1" customWidth="1"/>
    <col min="29" max="31" width="13.453125" style="98" bestFit="1" customWidth="1"/>
    <col min="32" max="32" width="14.453125" style="98" bestFit="1" customWidth="1"/>
    <col min="33" max="35" width="13.453125" style="98" bestFit="1" customWidth="1"/>
    <col min="36" max="36" width="11.7265625" style="98" bestFit="1" customWidth="1"/>
    <col min="37" max="38" width="13.453125" style="98" bestFit="1" customWidth="1"/>
    <col min="39" max="39" width="11.7265625" style="98" bestFit="1" customWidth="1"/>
    <col min="40" max="40" width="14.453125" style="98" bestFit="1" customWidth="1"/>
    <col min="41" max="41" width="13.453125" style="98" bestFit="1" customWidth="1"/>
    <col min="42" max="42" width="15.453125" style="98" bestFit="1" customWidth="1"/>
    <col min="43" max="43" width="14.453125" style="98" bestFit="1" customWidth="1"/>
    <col min="44" max="45" width="11.7265625" style="98" bestFit="1" customWidth="1"/>
    <col min="46" max="46" width="13.453125" style="98" bestFit="1" customWidth="1"/>
    <col min="47" max="47" width="12" style="98" bestFit="1" customWidth="1"/>
    <col min="48" max="16384" width="9.1796875" style="98"/>
  </cols>
  <sheetData>
    <row r="1" spans="1:47" x14ac:dyDescent="0.35">
      <c r="A1" s="98" t="s">
        <v>22</v>
      </c>
      <c r="B1" s="98" t="s">
        <v>23</v>
      </c>
      <c r="C1" s="98" t="s">
        <v>24</v>
      </c>
      <c r="D1" s="98" t="s">
        <v>25</v>
      </c>
      <c r="E1" s="98" t="s">
        <v>26</v>
      </c>
      <c r="F1" s="98" t="s">
        <v>27</v>
      </c>
      <c r="G1" s="98" t="s">
        <v>28</v>
      </c>
      <c r="H1" s="98" t="s">
        <v>29</v>
      </c>
      <c r="I1" s="98" t="s">
        <v>30</v>
      </c>
      <c r="J1" s="98" t="s">
        <v>31</v>
      </c>
      <c r="K1" s="98" t="s">
        <v>32</v>
      </c>
      <c r="L1" s="98" t="s">
        <v>33</v>
      </c>
      <c r="M1" s="98" t="s">
        <v>34</v>
      </c>
      <c r="N1" s="98" t="s">
        <v>35</v>
      </c>
      <c r="O1" s="98" t="s">
        <v>36</v>
      </c>
      <c r="P1" s="98" t="s">
        <v>37</v>
      </c>
      <c r="Q1" s="98" t="s">
        <v>38</v>
      </c>
      <c r="R1" s="98" t="s">
        <v>39</v>
      </c>
      <c r="S1" s="98" t="s">
        <v>40</v>
      </c>
      <c r="T1" s="98" t="s">
        <v>41</v>
      </c>
      <c r="U1" s="98" t="s">
        <v>42</v>
      </c>
      <c r="V1" s="98" t="s">
        <v>43</v>
      </c>
      <c r="W1" s="98" t="s">
        <v>44</v>
      </c>
      <c r="X1" s="98" t="s">
        <v>45</v>
      </c>
      <c r="Y1" s="98" t="s">
        <v>46</v>
      </c>
      <c r="Z1" s="98" t="s">
        <v>47</v>
      </c>
      <c r="AA1" s="98" t="s">
        <v>0</v>
      </c>
      <c r="AB1" s="98" t="s">
        <v>1</v>
      </c>
      <c r="AC1" s="98" t="s">
        <v>2</v>
      </c>
      <c r="AD1" s="98" t="s">
        <v>3</v>
      </c>
      <c r="AE1" s="98" t="s">
        <v>4</v>
      </c>
      <c r="AF1" s="98" t="s">
        <v>5</v>
      </c>
      <c r="AG1" s="98" t="s">
        <v>6</v>
      </c>
      <c r="AH1" s="98" t="s">
        <v>7</v>
      </c>
      <c r="AI1" s="98" t="s">
        <v>8</v>
      </c>
      <c r="AJ1" s="98" t="s">
        <v>9</v>
      </c>
      <c r="AK1" s="98" t="s">
        <v>10</v>
      </c>
      <c r="AL1" s="98" t="s">
        <v>11</v>
      </c>
      <c r="AM1" s="98" t="s">
        <v>12</v>
      </c>
      <c r="AN1" s="98" t="s">
        <v>13</v>
      </c>
      <c r="AO1" s="98" t="s">
        <v>14</v>
      </c>
      <c r="AP1" s="98" t="s">
        <v>15</v>
      </c>
      <c r="AQ1" s="98" t="s">
        <v>16</v>
      </c>
      <c r="AR1" s="98" t="s">
        <v>17</v>
      </c>
      <c r="AS1" s="98" t="s">
        <v>18</v>
      </c>
      <c r="AT1" s="98" t="s">
        <v>21</v>
      </c>
    </row>
    <row r="2" spans="1:47" x14ac:dyDescent="0.35">
      <c r="A2" s="98" t="s">
        <v>746</v>
      </c>
      <c r="B2" s="99">
        <v>2017</v>
      </c>
      <c r="C2" s="98">
        <v>88411177</v>
      </c>
      <c r="D2" s="98">
        <v>18319.201094993488</v>
      </c>
      <c r="E2" s="98">
        <v>3154.6220072970532</v>
      </c>
      <c r="F2" s="98">
        <v>772.07661645436815</v>
      </c>
      <c r="G2" s="98">
        <v>3389.2794126784434</v>
      </c>
      <c r="H2" s="98">
        <v>329.78781750196003</v>
      </c>
      <c r="I2" s="98">
        <v>433.86545343733985</v>
      </c>
      <c r="J2" s="98">
        <v>2130.4033173135899</v>
      </c>
      <c r="K2" s="98">
        <v>7357.3978455567149</v>
      </c>
      <c r="L2" s="98">
        <v>269.03721997238694</v>
      </c>
      <c r="M2" s="98">
        <v>623.73308026164932</v>
      </c>
      <c r="N2" s="98">
        <v>445.60598424457748</v>
      </c>
      <c r="O2" s="98">
        <v>1513.9113320306874</v>
      </c>
      <c r="P2" s="98">
        <v>321.27218513570119</v>
      </c>
      <c r="Q2" s="98">
        <v>289.97334116330967</v>
      </c>
      <c r="R2" s="98">
        <v>6405.9022729545031</v>
      </c>
      <c r="S2" s="98">
        <v>4692.3133324906903</v>
      </c>
      <c r="T2" s="98">
        <v>1540.6505905583067</v>
      </c>
      <c r="U2" s="98">
        <v>761.85917205805106</v>
      </c>
      <c r="V2" s="98">
        <v>-114.50172710268373</v>
      </c>
      <c r="Y2" s="98">
        <v>9123.2000000000007</v>
      </c>
      <c r="Z2" s="98">
        <v>52636.390349000125</v>
      </c>
      <c r="AA2" s="98">
        <v>1614000</v>
      </c>
      <c r="AB2" s="98">
        <v>12004540</v>
      </c>
      <c r="AC2" s="98">
        <v>4429550</v>
      </c>
      <c r="AD2" s="98">
        <v>441000</v>
      </c>
      <c r="AE2" s="98">
        <v>5629176</v>
      </c>
      <c r="AF2" s="98">
        <v>23109860</v>
      </c>
      <c r="AG2" s="98">
        <v>7563380</v>
      </c>
      <c r="AI2" s="98">
        <v>306990</v>
      </c>
      <c r="AJ2" s="98">
        <v>810913</v>
      </c>
      <c r="AK2" s="98">
        <v>4512920</v>
      </c>
      <c r="AL2" s="98">
        <v>1613210</v>
      </c>
      <c r="AM2" s="98">
        <v>115000</v>
      </c>
      <c r="AN2" s="98">
        <v>7574701</v>
      </c>
      <c r="AO2" s="98">
        <v>85950</v>
      </c>
      <c r="AP2" s="98">
        <v>16582041</v>
      </c>
      <c r="AQ2" s="98">
        <v>726815</v>
      </c>
      <c r="AR2" s="98">
        <v>323815</v>
      </c>
      <c r="AS2" s="98">
        <v>532670</v>
      </c>
      <c r="AT2" s="98">
        <v>766670</v>
      </c>
      <c r="AU2" s="98">
        <f>SUM(AA2:AT2)</f>
        <v>88743201</v>
      </c>
    </row>
    <row r="3" spans="1:47" x14ac:dyDescent="0.35">
      <c r="A3" s="98" t="s">
        <v>746</v>
      </c>
      <c r="B3" s="99">
        <v>2018</v>
      </c>
      <c r="C3" s="98">
        <v>118824134</v>
      </c>
      <c r="D3" s="98">
        <v>20301.392195182932</v>
      </c>
      <c r="E3" s="98">
        <v>2955.653013678434</v>
      </c>
      <c r="F3" s="98">
        <v>850.34156637657952</v>
      </c>
      <c r="G3" s="98">
        <v>4235.4865370189837</v>
      </c>
      <c r="H3" s="98">
        <v>334.42586523188407</v>
      </c>
      <c r="I3" s="98">
        <v>515.4884831837752</v>
      </c>
      <c r="J3" s="98">
        <v>2294.7382481179784</v>
      </c>
      <c r="K3" s="98">
        <v>9917.0834781562207</v>
      </c>
      <c r="L3" s="98">
        <v>315.63818022612168</v>
      </c>
      <c r="M3" s="98">
        <v>663.94646117606408</v>
      </c>
      <c r="N3" s="98">
        <v>241.19302077972495</v>
      </c>
      <c r="O3" s="98">
        <v>1681.7693719625829</v>
      </c>
      <c r="P3" s="98">
        <v>341.33885082385495</v>
      </c>
      <c r="Q3" s="98">
        <v>338.88617500121268</v>
      </c>
      <c r="R3" s="98">
        <v>7149.3061600533738</v>
      </c>
      <c r="S3" s="98">
        <v>5253.355879405648</v>
      </c>
      <c r="T3" s="98">
        <v>1574.6844147344532</v>
      </c>
      <c r="U3" s="98">
        <v>838.82117384981905</v>
      </c>
      <c r="V3" s="98">
        <v>-154.54853918663136</v>
      </c>
      <c r="Y3" s="98">
        <v>9123.2000000000007</v>
      </c>
      <c r="Z3" s="98">
        <v>59649.000535773019</v>
      </c>
      <c r="AA3" s="98">
        <v>1571900</v>
      </c>
      <c r="AB3" s="98">
        <v>17122965</v>
      </c>
      <c r="AC3" s="98">
        <v>2774345</v>
      </c>
      <c r="AD3" s="98">
        <v>384000</v>
      </c>
      <c r="AE3" s="98">
        <v>4873569</v>
      </c>
      <c r="AF3" s="98">
        <v>29688130</v>
      </c>
      <c r="AG3" s="98">
        <v>6699297</v>
      </c>
      <c r="AH3" s="98">
        <v>1029307.35</v>
      </c>
      <c r="AI3" s="98">
        <v>578670</v>
      </c>
      <c r="AJ3" s="98">
        <v>801320</v>
      </c>
      <c r="AK3" s="98">
        <v>3753020</v>
      </c>
      <c r="AL3" s="98">
        <v>1359230</v>
      </c>
      <c r="AM3" s="98">
        <v>150000</v>
      </c>
      <c r="AN3" s="98">
        <v>11465982.25</v>
      </c>
      <c r="AO3" s="98">
        <v>72500</v>
      </c>
      <c r="AP3" s="98">
        <v>25417783.399999999</v>
      </c>
      <c r="AQ3" s="98">
        <v>9160715</v>
      </c>
      <c r="AR3" s="98">
        <v>301980</v>
      </c>
      <c r="AS3" s="98">
        <v>804230</v>
      </c>
      <c r="AT3" s="98">
        <v>820495</v>
      </c>
      <c r="AU3" s="98">
        <f t="shared" ref="AU3:AU8" si="0">SUM(AA3:AT3)</f>
        <v>118829439</v>
      </c>
    </row>
    <row r="4" spans="1:47" x14ac:dyDescent="0.35">
      <c r="A4" s="98" t="s">
        <v>746</v>
      </c>
      <c r="B4" s="99">
        <v>2019</v>
      </c>
      <c r="C4" s="98">
        <v>102684996</v>
      </c>
      <c r="W4" s="98">
        <v>621241</v>
      </c>
      <c r="Y4" s="98">
        <v>9123.2000000000007</v>
      </c>
      <c r="Z4" s="98">
        <v>68349</v>
      </c>
      <c r="AA4" s="98">
        <v>2618680</v>
      </c>
      <c r="AB4" s="98">
        <v>13037213.65</v>
      </c>
      <c r="AC4" s="98">
        <v>1058695</v>
      </c>
      <c r="AD4" s="98">
        <v>508386</v>
      </c>
      <c r="AE4" s="98">
        <v>3808972</v>
      </c>
      <c r="AF4" s="98">
        <v>20445954.25</v>
      </c>
      <c r="AG4" s="98">
        <v>2809180</v>
      </c>
      <c r="AH4" s="98">
        <v>3807175.1</v>
      </c>
      <c r="AI4" s="98">
        <v>3024920</v>
      </c>
      <c r="AJ4" s="98">
        <v>502575</v>
      </c>
      <c r="AK4" s="98">
        <v>2128625</v>
      </c>
      <c r="AL4" s="98">
        <v>485500</v>
      </c>
      <c r="AM4" s="98">
        <v>389780</v>
      </c>
      <c r="AN4" s="98">
        <v>6281154.0499999998</v>
      </c>
      <c r="AO4" s="98">
        <v>35000</v>
      </c>
      <c r="AP4" s="98">
        <v>41755000</v>
      </c>
      <c r="AQ4" s="98">
        <v>3041392.95</v>
      </c>
      <c r="AR4" s="98">
        <v>274570</v>
      </c>
      <c r="AS4" s="98">
        <v>144150</v>
      </c>
      <c r="AT4" s="98">
        <v>989706</v>
      </c>
      <c r="AU4" s="98">
        <f t="shared" si="0"/>
        <v>107146629</v>
      </c>
    </row>
    <row r="5" spans="1:47" x14ac:dyDescent="0.35">
      <c r="A5" s="98" t="s">
        <v>746</v>
      </c>
      <c r="B5" s="99">
        <v>2020</v>
      </c>
      <c r="C5" s="98">
        <v>110441691</v>
      </c>
      <c r="D5" s="98">
        <v>35613</v>
      </c>
      <c r="E5" s="98">
        <v>3294</v>
      </c>
      <c r="F5" s="98">
        <v>939</v>
      </c>
      <c r="G5" s="98">
        <v>3438</v>
      </c>
      <c r="H5" s="98">
        <v>323</v>
      </c>
      <c r="I5" s="98">
        <v>710</v>
      </c>
      <c r="J5" s="98">
        <v>2651</v>
      </c>
      <c r="K5" s="98">
        <v>11425</v>
      </c>
      <c r="L5" s="98">
        <v>246</v>
      </c>
      <c r="M5" s="98">
        <v>779</v>
      </c>
      <c r="N5" s="98">
        <v>260</v>
      </c>
      <c r="O5" s="98">
        <v>1897</v>
      </c>
      <c r="P5" s="98">
        <v>332</v>
      </c>
      <c r="Q5" s="98">
        <v>322</v>
      </c>
      <c r="R5" s="98">
        <v>8947</v>
      </c>
      <c r="S5" s="98">
        <v>5375</v>
      </c>
      <c r="T5" s="98">
        <v>2249</v>
      </c>
      <c r="U5" s="98">
        <v>766</v>
      </c>
      <c r="V5" s="98">
        <v>-148</v>
      </c>
      <c r="W5" s="98">
        <v>631122</v>
      </c>
      <c r="Y5" s="98">
        <v>9123.2000000000007</v>
      </c>
      <c r="Z5" s="98">
        <v>79417</v>
      </c>
      <c r="AA5" s="98">
        <v>1098800</v>
      </c>
      <c r="AB5" s="98">
        <v>11474472.25</v>
      </c>
      <c r="AC5" s="98">
        <v>1449310</v>
      </c>
      <c r="AD5" s="98">
        <v>2589320</v>
      </c>
      <c r="AE5" s="98">
        <v>3796028</v>
      </c>
      <c r="AF5" s="98">
        <v>18969563</v>
      </c>
      <c r="AG5" s="98">
        <v>3002065</v>
      </c>
      <c r="AH5" s="98">
        <v>1883913</v>
      </c>
      <c r="AI5" s="98">
        <v>3033510.15</v>
      </c>
      <c r="AJ5" s="98">
        <v>667480</v>
      </c>
      <c r="AK5" s="98">
        <v>4815810</v>
      </c>
      <c r="AL5" s="98">
        <v>1038300</v>
      </c>
      <c r="AM5" s="98">
        <v>77500</v>
      </c>
      <c r="AN5" s="98">
        <v>1697505.67</v>
      </c>
      <c r="AO5" s="98">
        <v>59140</v>
      </c>
      <c r="AP5" s="98">
        <v>41968000</v>
      </c>
      <c r="AQ5" s="98">
        <v>11164824.08</v>
      </c>
      <c r="AR5" s="98">
        <v>253930</v>
      </c>
      <c r="AS5" s="98">
        <v>164650</v>
      </c>
      <c r="AT5" s="98">
        <v>1630788.85</v>
      </c>
      <c r="AU5" s="98">
        <f t="shared" si="0"/>
        <v>110834909.99999999</v>
      </c>
    </row>
    <row r="6" spans="1:47" x14ac:dyDescent="0.35">
      <c r="A6" s="98" t="s">
        <v>746</v>
      </c>
      <c r="B6" s="99">
        <v>2021</v>
      </c>
      <c r="C6" s="98">
        <v>113444832</v>
      </c>
      <c r="D6" s="98">
        <v>30918</v>
      </c>
      <c r="E6" s="98">
        <v>3935</v>
      </c>
      <c r="F6" s="98">
        <v>940</v>
      </c>
      <c r="G6" s="98">
        <v>6234</v>
      </c>
      <c r="H6" s="98">
        <v>318</v>
      </c>
      <c r="I6" s="98">
        <v>812</v>
      </c>
      <c r="J6" s="98">
        <v>2914</v>
      </c>
      <c r="K6" s="98">
        <v>13257</v>
      </c>
      <c r="L6" s="98">
        <v>422</v>
      </c>
      <c r="M6" s="98">
        <v>814</v>
      </c>
      <c r="N6" s="98">
        <v>310</v>
      </c>
      <c r="O6" s="98">
        <v>2027</v>
      </c>
      <c r="P6" s="98">
        <v>373</v>
      </c>
      <c r="Q6" s="98">
        <v>367</v>
      </c>
      <c r="R6" s="98">
        <v>10372</v>
      </c>
      <c r="S6" s="98">
        <v>6731</v>
      </c>
      <c r="T6" s="98">
        <v>2321</v>
      </c>
      <c r="U6" s="98">
        <v>871</v>
      </c>
      <c r="V6" s="98">
        <v>-119</v>
      </c>
      <c r="W6" s="98">
        <v>646190</v>
      </c>
      <c r="Y6" s="98">
        <v>9123.2000000000007</v>
      </c>
      <c r="Z6" s="98">
        <v>83816</v>
      </c>
      <c r="AA6" s="98">
        <v>1437260</v>
      </c>
      <c r="AB6" s="98">
        <v>6425980</v>
      </c>
      <c r="AC6" s="98">
        <v>1235940</v>
      </c>
      <c r="AD6" s="98">
        <v>317120</v>
      </c>
      <c r="AE6" s="98">
        <v>2116860</v>
      </c>
      <c r="AF6" s="98">
        <v>17883710.800000001</v>
      </c>
      <c r="AG6" s="98">
        <v>3179265</v>
      </c>
      <c r="AH6" s="98">
        <v>1911490</v>
      </c>
      <c r="AI6" s="98">
        <v>1006900</v>
      </c>
      <c r="AJ6" s="98">
        <v>583160</v>
      </c>
      <c r="AK6" s="98">
        <v>3337210</v>
      </c>
      <c r="AL6" s="98">
        <v>739300</v>
      </c>
      <c r="AM6" s="98">
        <v>355440</v>
      </c>
      <c r="AN6" s="98">
        <v>2993315.4</v>
      </c>
      <c r="AO6" s="98">
        <v>2014275</v>
      </c>
      <c r="AP6" s="98">
        <v>57572500</v>
      </c>
      <c r="AQ6" s="98">
        <v>9677575.8000000007</v>
      </c>
      <c r="AR6" s="98">
        <v>363850</v>
      </c>
      <c r="AT6" s="98">
        <v>230100</v>
      </c>
      <c r="AU6" s="98">
        <f t="shared" si="0"/>
        <v>113381251.99999999</v>
      </c>
    </row>
    <row r="7" spans="1:47" x14ac:dyDescent="0.35">
      <c r="A7" s="98" t="s">
        <v>746</v>
      </c>
      <c r="B7" s="99">
        <v>2022</v>
      </c>
      <c r="C7" s="98">
        <v>128695650</v>
      </c>
      <c r="D7" s="98">
        <v>28555</v>
      </c>
      <c r="E7" s="98">
        <v>5100</v>
      </c>
      <c r="F7" s="98">
        <v>959</v>
      </c>
      <c r="G7" s="98">
        <v>4982</v>
      </c>
      <c r="H7" s="98">
        <v>294</v>
      </c>
      <c r="I7" s="98">
        <v>904</v>
      </c>
      <c r="J7" s="98">
        <v>3167</v>
      </c>
      <c r="K7" s="98">
        <v>17343</v>
      </c>
      <c r="L7" s="98">
        <v>465</v>
      </c>
      <c r="M7" s="98">
        <v>899</v>
      </c>
      <c r="N7" s="98">
        <v>365</v>
      </c>
      <c r="O7" s="98">
        <v>2184</v>
      </c>
      <c r="P7" s="98">
        <v>391</v>
      </c>
      <c r="Q7" s="98">
        <v>454</v>
      </c>
      <c r="R7" s="98">
        <v>8539</v>
      </c>
      <c r="S7" s="98">
        <v>7078</v>
      </c>
      <c r="T7" s="98">
        <v>2464</v>
      </c>
      <c r="U7" s="98">
        <v>972</v>
      </c>
      <c r="V7" s="98">
        <v>-130</v>
      </c>
      <c r="W7" s="98">
        <v>661258</v>
      </c>
      <c r="X7" s="98">
        <v>211119</v>
      </c>
      <c r="Y7" s="98">
        <v>9123.2000000000007</v>
      </c>
      <c r="Z7" s="98">
        <v>84985</v>
      </c>
      <c r="AA7" s="98">
        <v>2183650</v>
      </c>
      <c r="AB7" s="98">
        <v>7743100</v>
      </c>
      <c r="AC7" s="98">
        <v>1218355</v>
      </c>
      <c r="AD7" s="98">
        <v>203000</v>
      </c>
      <c r="AE7" s="98">
        <v>2988540</v>
      </c>
      <c r="AF7" s="98">
        <v>16645030</v>
      </c>
      <c r="AG7" s="98">
        <v>4503840</v>
      </c>
      <c r="AH7" s="98">
        <v>1269876</v>
      </c>
      <c r="AI7" s="98">
        <v>822200</v>
      </c>
      <c r="AJ7" s="98">
        <v>381930</v>
      </c>
      <c r="AK7" s="98">
        <v>2184260</v>
      </c>
      <c r="AL7" s="98">
        <v>1129350</v>
      </c>
      <c r="AM7" s="98">
        <v>126000</v>
      </c>
      <c r="AN7" s="98">
        <v>347924.8</v>
      </c>
      <c r="AO7" s="98">
        <v>149200</v>
      </c>
      <c r="AP7" s="98">
        <v>79035500</v>
      </c>
      <c r="AQ7" s="98">
        <v>6917344.1500000004</v>
      </c>
      <c r="AR7" s="98">
        <v>471200</v>
      </c>
      <c r="AS7" s="98" t="s">
        <v>19</v>
      </c>
      <c r="AT7" s="98">
        <v>370850</v>
      </c>
      <c r="AU7" s="98">
        <f t="shared" si="0"/>
        <v>128691149.95</v>
      </c>
    </row>
    <row r="8" spans="1:47" x14ac:dyDescent="0.35">
      <c r="A8" s="98" t="s">
        <v>746</v>
      </c>
      <c r="B8" s="99">
        <v>2023</v>
      </c>
      <c r="C8" s="98">
        <v>104474</v>
      </c>
      <c r="D8" s="98">
        <v>42325</v>
      </c>
      <c r="E8" s="98">
        <v>4417</v>
      </c>
      <c r="G8" s="98">
        <v>1105</v>
      </c>
      <c r="H8" s="98">
        <v>5128</v>
      </c>
      <c r="I8" s="98">
        <v>309</v>
      </c>
      <c r="J8" s="98">
        <v>3431</v>
      </c>
      <c r="K8" s="98">
        <v>19829</v>
      </c>
      <c r="L8" s="98">
        <v>602</v>
      </c>
      <c r="M8" s="98">
        <v>951</v>
      </c>
      <c r="N8" s="98">
        <v>433</v>
      </c>
      <c r="O8" s="98">
        <v>2367</v>
      </c>
      <c r="P8" s="98">
        <v>429</v>
      </c>
      <c r="Q8" s="98">
        <v>537</v>
      </c>
      <c r="R8" s="98">
        <v>11171</v>
      </c>
      <c r="S8" s="98">
        <v>7547</v>
      </c>
      <c r="T8" s="98">
        <v>2087</v>
      </c>
      <c r="U8" s="98">
        <v>1074</v>
      </c>
      <c r="V8" s="98">
        <v>-222</v>
      </c>
      <c r="W8" s="98">
        <v>676326</v>
      </c>
      <c r="Y8" s="98">
        <v>9123.2000000000007</v>
      </c>
      <c r="AA8" s="98">
        <v>3426600</v>
      </c>
      <c r="AB8" s="98">
        <v>7490122</v>
      </c>
      <c r="AC8" s="98">
        <v>2368760</v>
      </c>
      <c r="AD8" s="98">
        <v>80000</v>
      </c>
      <c r="AE8" s="98">
        <v>4571186</v>
      </c>
      <c r="AF8" s="98">
        <v>18007410</v>
      </c>
      <c r="AG8" s="98">
        <v>6234820</v>
      </c>
      <c r="AH8" s="98">
        <v>1350876</v>
      </c>
      <c r="AI8" s="98">
        <v>2803000</v>
      </c>
      <c r="AJ8" s="98">
        <v>741910</v>
      </c>
      <c r="AK8" s="98">
        <v>6115130</v>
      </c>
      <c r="AL8" s="98">
        <v>970600</v>
      </c>
      <c r="AM8" s="98">
        <v>293000</v>
      </c>
      <c r="AN8" s="98">
        <v>1285742</v>
      </c>
      <c r="AO8" s="98">
        <v>149000</v>
      </c>
      <c r="AP8" s="98">
        <v>119847000</v>
      </c>
      <c r="AQ8" s="98">
        <v>8507755</v>
      </c>
      <c r="AR8" s="98">
        <v>326980</v>
      </c>
      <c r="AS8" s="98" t="s">
        <v>20</v>
      </c>
      <c r="AT8" s="98">
        <v>724810</v>
      </c>
      <c r="AU8" s="98">
        <f t="shared" si="0"/>
        <v>185294701</v>
      </c>
    </row>
    <row r="9" spans="1:47" x14ac:dyDescent="0.35">
      <c r="B9" s="99"/>
      <c r="AA9" s="98">
        <f>SUM(AA2:AA8)</f>
        <v>13950890</v>
      </c>
      <c r="AB9" s="98">
        <f t="shared" ref="AB9:AT9" si="1">SUM(AB2:AB8)</f>
        <v>75298392.900000006</v>
      </c>
      <c r="AC9" s="98">
        <f t="shared" si="1"/>
        <v>14534955</v>
      </c>
      <c r="AD9" s="98">
        <f t="shared" si="1"/>
        <v>4522826</v>
      </c>
      <c r="AE9" s="98">
        <f t="shared" si="1"/>
        <v>27784331</v>
      </c>
      <c r="AF9" s="98">
        <f t="shared" si="1"/>
        <v>144749658.05000001</v>
      </c>
      <c r="AG9" s="98">
        <f t="shared" si="1"/>
        <v>33991847</v>
      </c>
      <c r="AH9" s="98">
        <f t="shared" si="1"/>
        <v>11252637.449999999</v>
      </c>
      <c r="AI9" s="98">
        <f t="shared" si="1"/>
        <v>11576190.15</v>
      </c>
      <c r="AJ9" s="98">
        <f t="shared" si="1"/>
        <v>4489288</v>
      </c>
      <c r="AK9" s="98">
        <f t="shared" si="1"/>
        <v>26846975</v>
      </c>
      <c r="AL9" s="98">
        <f t="shared" si="1"/>
        <v>7335490</v>
      </c>
      <c r="AM9" s="98">
        <f t="shared" si="1"/>
        <v>1506720</v>
      </c>
      <c r="AN9" s="98">
        <f t="shared" si="1"/>
        <v>31646325.169999998</v>
      </c>
      <c r="AO9" s="98">
        <f t="shared" si="1"/>
        <v>2565065</v>
      </c>
      <c r="AP9" s="98">
        <f t="shared" si="1"/>
        <v>382177824.39999998</v>
      </c>
      <c r="AQ9" s="98">
        <f t="shared" si="1"/>
        <v>49196421.979999997</v>
      </c>
      <c r="AR9" s="98">
        <f t="shared" si="1"/>
        <v>2316325</v>
      </c>
      <c r="AS9" s="98">
        <f t="shared" si="1"/>
        <v>1645700</v>
      </c>
      <c r="AT9" s="98">
        <f t="shared" si="1"/>
        <v>5533419.8499999996</v>
      </c>
    </row>
    <row r="10" spans="1:47" x14ac:dyDescent="0.35">
      <c r="A10" s="98" t="s">
        <v>775</v>
      </c>
      <c r="AA10" s="98" t="s">
        <v>0</v>
      </c>
      <c r="AB10" s="98" t="s">
        <v>1</v>
      </c>
      <c r="AC10" s="98" t="s">
        <v>2</v>
      </c>
      <c r="AD10" s="98" t="s">
        <v>3</v>
      </c>
      <c r="AE10" s="98" t="s">
        <v>4</v>
      </c>
      <c r="AF10" s="98" t="s">
        <v>5</v>
      </c>
      <c r="AG10" s="98" t="s">
        <v>6</v>
      </c>
      <c r="AH10" s="98" t="s">
        <v>7</v>
      </c>
      <c r="AI10" s="98" t="s">
        <v>8</v>
      </c>
      <c r="AJ10" s="98" t="s">
        <v>9</v>
      </c>
      <c r="AK10" s="98" t="s">
        <v>10</v>
      </c>
      <c r="AL10" s="98" t="s">
        <v>11</v>
      </c>
      <c r="AM10" s="98" t="s">
        <v>12</v>
      </c>
      <c r="AN10" s="98" t="s">
        <v>13</v>
      </c>
      <c r="AO10" s="98" t="s">
        <v>14</v>
      </c>
      <c r="AP10" s="98" t="s">
        <v>15</v>
      </c>
      <c r="AQ10" s="98" t="s">
        <v>16</v>
      </c>
      <c r="AR10" s="98" t="s">
        <v>17</v>
      </c>
      <c r="AS10" s="98" t="s">
        <v>18</v>
      </c>
      <c r="AT10" s="98" t="s">
        <v>21</v>
      </c>
    </row>
    <row r="11" spans="1:47" x14ac:dyDescent="0.35">
      <c r="A11" s="98" t="s">
        <v>746</v>
      </c>
      <c r="B11" s="99">
        <v>2017</v>
      </c>
      <c r="AA11" s="127">
        <f>AA2/$AU2</f>
        <v>1.8187308794506973E-2</v>
      </c>
      <c r="AB11" s="127">
        <f t="shared" ref="AB11:AU11" si="2">AB2/$AU2</f>
        <v>0.13527278557373651</v>
      </c>
      <c r="AC11" s="127">
        <f t="shared" si="2"/>
        <v>4.9914246388295141E-2</v>
      </c>
      <c r="AD11" s="127">
        <f t="shared" si="2"/>
        <v>4.9693947821422401E-3</v>
      </c>
      <c r="AE11" s="127">
        <f t="shared" si="2"/>
        <v>6.343219465342477E-2</v>
      </c>
      <c r="AF11" s="127">
        <f t="shared" si="2"/>
        <v>0.26041273854883823</v>
      </c>
      <c r="AG11" s="127">
        <f t="shared" si="2"/>
        <v>8.5227712261584973E-2</v>
      </c>
      <c r="AH11" s="127">
        <f t="shared" si="2"/>
        <v>0</v>
      </c>
      <c r="AI11" s="127">
        <f t="shared" si="2"/>
        <v>3.4593072656912611E-3</v>
      </c>
      <c r="AJ11" s="127">
        <f t="shared" si="2"/>
        <v>9.1377479160347167E-3</v>
      </c>
      <c r="AK11" s="127">
        <f t="shared" si="2"/>
        <v>5.0853698639966798E-2</v>
      </c>
      <c r="AL11" s="127">
        <f t="shared" si="2"/>
        <v>1.8178406704080913E-2</v>
      </c>
      <c r="AM11" s="127">
        <f t="shared" si="2"/>
        <v>1.2958739227808562E-3</v>
      </c>
      <c r="AN11" s="127">
        <f t="shared" si="2"/>
        <v>8.5355282597931084E-2</v>
      </c>
      <c r="AO11" s="127">
        <f t="shared" si="2"/>
        <v>9.6852490141751822E-4</v>
      </c>
      <c r="AP11" s="127">
        <f t="shared" si="2"/>
        <v>0.18685421320333037</v>
      </c>
      <c r="AQ11" s="127">
        <f t="shared" si="2"/>
        <v>8.1900922190084168E-3</v>
      </c>
      <c r="AR11" s="127">
        <f t="shared" si="2"/>
        <v>3.6488992548285473E-3</v>
      </c>
      <c r="AS11" s="127">
        <f t="shared" si="2"/>
        <v>6.0023753256319883E-3</v>
      </c>
      <c r="AT11" s="127">
        <f t="shared" si="2"/>
        <v>8.6391970467686874E-3</v>
      </c>
      <c r="AU11" s="127">
        <f t="shared" si="2"/>
        <v>1</v>
      </c>
    </row>
    <row r="12" spans="1:47" x14ac:dyDescent="0.35">
      <c r="A12" s="98" t="s">
        <v>746</v>
      </c>
      <c r="B12" s="99">
        <v>2018</v>
      </c>
      <c r="AA12" s="127">
        <f t="shared" ref="AA12:AU12" si="3">AA3/$AU3</f>
        <v>1.3228203492570558E-2</v>
      </c>
      <c r="AB12" s="127">
        <f t="shared" si="3"/>
        <v>0.14409699434834494</v>
      </c>
      <c r="AC12" s="127">
        <f t="shared" si="3"/>
        <v>2.3347286862138598E-2</v>
      </c>
      <c r="AD12" s="127">
        <f t="shared" si="3"/>
        <v>3.2315224512673162E-3</v>
      </c>
      <c r="AE12" s="127">
        <f t="shared" si="3"/>
        <v>4.1013144899219797E-2</v>
      </c>
      <c r="AF12" s="127">
        <f t="shared" si="3"/>
        <v>0.24983817351860088</v>
      </c>
      <c r="AG12" s="127">
        <f t="shared" si="3"/>
        <v>5.6377418393770251E-2</v>
      </c>
      <c r="AH12" s="127">
        <f t="shared" si="3"/>
        <v>8.6620567989048568E-3</v>
      </c>
      <c r="AI12" s="127">
        <f t="shared" si="3"/>
        <v>4.8697528564449416E-3</v>
      </c>
      <c r="AJ12" s="127">
        <f t="shared" si="3"/>
        <v>6.7434467985664727E-3</v>
      </c>
      <c r="AK12" s="127">
        <f t="shared" si="3"/>
        <v>3.1583251015768914E-2</v>
      </c>
      <c r="AL12" s="127">
        <f t="shared" si="3"/>
        <v>1.1438495472489776E-2</v>
      </c>
      <c r="AM12" s="127">
        <f t="shared" si="3"/>
        <v>1.2623134575262952E-3</v>
      </c>
      <c r="AN12" s="127">
        <f t="shared" si="3"/>
        <v>9.6491091319550873E-2</v>
      </c>
      <c r="AO12" s="127">
        <f t="shared" si="3"/>
        <v>6.1011817113770935E-4</v>
      </c>
      <c r="AP12" s="127">
        <f t="shared" si="3"/>
        <v>0.21390140030872315</v>
      </c>
      <c r="AQ12" s="127">
        <f t="shared" si="3"/>
        <v>7.7091292167086642E-2</v>
      </c>
      <c r="AR12" s="127">
        <f t="shared" si="3"/>
        <v>2.5412894526919377E-3</v>
      </c>
      <c r="AS12" s="127">
        <f t="shared" si="3"/>
        <v>6.767935679642483E-3</v>
      </c>
      <c r="AT12" s="127">
        <f t="shared" si="3"/>
        <v>6.9048125355535847E-3</v>
      </c>
      <c r="AU12" s="127">
        <f t="shared" si="3"/>
        <v>1</v>
      </c>
    </row>
    <row r="13" spans="1:47" x14ac:dyDescent="0.35">
      <c r="A13" s="98" t="s">
        <v>746</v>
      </c>
      <c r="B13" s="99">
        <v>2019</v>
      </c>
      <c r="AA13" s="127">
        <f t="shared" ref="AA13:AU13" si="4">AA4/$AU4</f>
        <v>2.4440152942189156E-2</v>
      </c>
      <c r="AB13" s="127">
        <f t="shared" si="4"/>
        <v>0.12167637723814904</v>
      </c>
      <c r="AC13" s="127">
        <f t="shared" si="4"/>
        <v>9.8808054894568825E-3</v>
      </c>
      <c r="AD13" s="127">
        <f t="shared" si="4"/>
        <v>4.7447689651533504E-3</v>
      </c>
      <c r="AE13" s="127">
        <f t="shared" si="4"/>
        <v>3.5549153860920814E-2</v>
      </c>
      <c r="AF13" s="127">
        <f t="shared" si="4"/>
        <v>0.19082218862900482</v>
      </c>
      <c r="AG13" s="127">
        <f t="shared" si="4"/>
        <v>2.6218090351680594E-2</v>
      </c>
      <c r="AH13" s="127">
        <f t="shared" si="4"/>
        <v>3.5532383384641993E-2</v>
      </c>
      <c r="AI13" s="127">
        <f t="shared" si="4"/>
        <v>2.8231592801673675E-2</v>
      </c>
      <c r="AJ13" s="127">
        <f t="shared" si="4"/>
        <v>4.6905348744102808E-3</v>
      </c>
      <c r="AK13" s="127">
        <f t="shared" si="4"/>
        <v>1.9866467287552276E-2</v>
      </c>
      <c r="AL13" s="127">
        <f t="shared" si="4"/>
        <v>4.531173817890248E-3</v>
      </c>
      <c r="AM13" s="127">
        <f t="shared" si="4"/>
        <v>3.6378186009006406E-3</v>
      </c>
      <c r="AN13" s="127">
        <f t="shared" si="4"/>
        <v>5.8622040736344583E-2</v>
      </c>
      <c r="AO13" s="127">
        <f t="shared" si="4"/>
        <v>3.2665516709816416E-4</v>
      </c>
      <c r="AP13" s="127">
        <f t="shared" si="4"/>
        <v>0.38969961434810985</v>
      </c>
      <c r="AQ13" s="127">
        <f t="shared" si="4"/>
        <v>2.8385334922669384E-2</v>
      </c>
      <c r="AR13" s="127">
        <f t="shared" si="4"/>
        <v>2.5625631208612267E-3</v>
      </c>
      <c r="AS13" s="127">
        <f t="shared" si="4"/>
        <v>1.3453526382057246E-3</v>
      </c>
      <c r="AT13" s="127">
        <f t="shared" si="4"/>
        <v>9.236930823087304E-3</v>
      </c>
      <c r="AU13" s="127">
        <f t="shared" si="4"/>
        <v>1</v>
      </c>
    </row>
    <row r="14" spans="1:47" x14ac:dyDescent="0.35">
      <c r="A14" s="98" t="s">
        <v>746</v>
      </c>
      <c r="B14" s="99">
        <v>2020</v>
      </c>
      <c r="AA14" s="127">
        <f t="shared" ref="AA14:AU14" si="5">AA5/$AU5</f>
        <v>9.9138439323855649E-3</v>
      </c>
      <c r="AB14" s="127">
        <f t="shared" si="5"/>
        <v>0.10352760019383786</v>
      </c>
      <c r="AC14" s="127">
        <f t="shared" si="5"/>
        <v>1.3076295185334659E-2</v>
      </c>
      <c r="AD14" s="127">
        <f t="shared" si="5"/>
        <v>2.3361953377324891E-2</v>
      </c>
      <c r="AE14" s="127">
        <f t="shared" si="5"/>
        <v>3.4249389474850483E-2</v>
      </c>
      <c r="AF14" s="127">
        <f t="shared" si="5"/>
        <v>0.17115151715285376</v>
      </c>
      <c r="AG14" s="127">
        <f t="shared" si="5"/>
        <v>2.7085915439458565E-2</v>
      </c>
      <c r="AH14" s="127">
        <f t="shared" si="5"/>
        <v>1.6997469479607105E-2</v>
      </c>
      <c r="AI14" s="127">
        <f t="shared" si="5"/>
        <v>2.7369627042598765E-2</v>
      </c>
      <c r="AJ14" s="127">
        <f t="shared" si="5"/>
        <v>6.0222902693745145E-3</v>
      </c>
      <c r="AK14" s="127">
        <f t="shared" si="5"/>
        <v>4.3450299188225086E-2</v>
      </c>
      <c r="AL14" s="127">
        <f t="shared" si="5"/>
        <v>9.3679870358535956E-3</v>
      </c>
      <c r="AM14" s="127">
        <f t="shared" si="5"/>
        <v>6.9923817324343037E-4</v>
      </c>
      <c r="AN14" s="127">
        <f t="shared" si="5"/>
        <v>1.5315622758208584E-2</v>
      </c>
      <c r="AO14" s="127">
        <f t="shared" si="5"/>
        <v>5.3358639439505119E-4</v>
      </c>
      <c r="AP14" s="127">
        <f t="shared" si="5"/>
        <v>0.37865326006039079</v>
      </c>
      <c r="AQ14" s="127">
        <f t="shared" si="5"/>
        <v>0.1007338218617221</v>
      </c>
      <c r="AR14" s="127">
        <f t="shared" si="5"/>
        <v>2.291065152667152E-3</v>
      </c>
      <c r="AS14" s="127">
        <f t="shared" si="5"/>
        <v>1.4855427770907202E-3</v>
      </c>
      <c r="AT14" s="127">
        <f t="shared" si="5"/>
        <v>1.4713675050577479E-2</v>
      </c>
      <c r="AU14" s="127">
        <f t="shared" si="5"/>
        <v>1</v>
      </c>
    </row>
    <row r="15" spans="1:47" x14ac:dyDescent="0.35">
      <c r="A15" s="98" t="s">
        <v>746</v>
      </c>
      <c r="B15" s="99">
        <v>2021</v>
      </c>
      <c r="AA15" s="127">
        <f t="shared" ref="AA15:AU15" si="6">AA6/$AU6</f>
        <v>1.2676346174057067E-2</v>
      </c>
      <c r="AB15" s="127">
        <f t="shared" si="6"/>
        <v>5.6675860308898346E-2</v>
      </c>
      <c r="AC15" s="127">
        <f t="shared" si="6"/>
        <v>1.0900743978378367E-2</v>
      </c>
      <c r="AD15" s="127">
        <f t="shared" si="6"/>
        <v>2.7969350700061068E-3</v>
      </c>
      <c r="AE15" s="127">
        <f t="shared" si="6"/>
        <v>1.8670282455515663E-2</v>
      </c>
      <c r="AF15" s="127">
        <f t="shared" si="6"/>
        <v>0.15773075781523388</v>
      </c>
      <c r="AG15" s="127">
        <f t="shared" si="6"/>
        <v>2.8040482389451834E-2</v>
      </c>
      <c r="AH15" s="127">
        <f t="shared" si="6"/>
        <v>1.6858960068636394E-2</v>
      </c>
      <c r="AI15" s="127">
        <f t="shared" si="6"/>
        <v>8.8806569184824331E-3</v>
      </c>
      <c r="AJ15" s="127">
        <f t="shared" si="6"/>
        <v>5.1433547408702108E-3</v>
      </c>
      <c r="AK15" s="127">
        <f t="shared" si="6"/>
        <v>2.9433525747272579E-2</v>
      </c>
      <c r="AL15" s="127">
        <f t="shared" si="6"/>
        <v>6.520478359155887E-3</v>
      </c>
      <c r="AM15" s="127">
        <f t="shared" si="6"/>
        <v>3.1349098173655732E-3</v>
      </c>
      <c r="AN15" s="127">
        <f t="shared" si="6"/>
        <v>2.6400444052249488E-2</v>
      </c>
      <c r="AO15" s="127">
        <f t="shared" si="6"/>
        <v>1.7765503242105671E-2</v>
      </c>
      <c r="AP15" s="127">
        <f t="shared" si="6"/>
        <v>0.50777795256662017</v>
      </c>
      <c r="AQ15" s="127">
        <f t="shared" si="6"/>
        <v>8.5354285909631705E-2</v>
      </c>
      <c r="AR15" s="127">
        <f t="shared" si="6"/>
        <v>3.2090843378586088E-3</v>
      </c>
      <c r="AS15" s="127">
        <f t="shared" si="6"/>
        <v>0</v>
      </c>
      <c r="AT15" s="127">
        <f t="shared" si="6"/>
        <v>2.0294360482101576E-3</v>
      </c>
      <c r="AU15" s="127">
        <f t="shared" si="6"/>
        <v>1</v>
      </c>
    </row>
    <row r="16" spans="1:47" x14ac:dyDescent="0.35">
      <c r="A16" s="98" t="s">
        <v>746</v>
      </c>
      <c r="B16" s="99">
        <v>2022</v>
      </c>
      <c r="AA16" s="127">
        <f t="shared" ref="AA16:AU16" si="7">AA7/$AU7</f>
        <v>1.6968144280693796E-2</v>
      </c>
      <c r="AB16" s="127">
        <f t="shared" si="7"/>
        <v>6.0168084619714748E-2</v>
      </c>
      <c r="AC16" s="127">
        <f t="shared" si="7"/>
        <v>9.467278833652228E-3</v>
      </c>
      <c r="AD16" s="127">
        <f t="shared" si="7"/>
        <v>1.5774200485338037E-3</v>
      </c>
      <c r="AE16" s="127">
        <f t="shared" si="7"/>
        <v>2.322257592041977E-2</v>
      </c>
      <c r="AF16" s="127">
        <f t="shared" si="7"/>
        <v>0.12934090655392422</v>
      </c>
      <c r="AG16" s="127">
        <f t="shared" si="7"/>
        <v>3.4997278381224066E-2</v>
      </c>
      <c r="AH16" s="127">
        <f t="shared" si="7"/>
        <v>9.8676249337532624E-3</v>
      </c>
      <c r="AI16" s="127">
        <f t="shared" si="7"/>
        <v>6.3889397236674547E-3</v>
      </c>
      <c r="AJ16" s="127">
        <f t="shared" si="7"/>
        <v>2.9678031484557418E-3</v>
      </c>
      <c r="AK16" s="127">
        <f t="shared" si="7"/>
        <v>1.6972884311381508E-2</v>
      </c>
      <c r="AL16" s="127">
        <f t="shared" si="7"/>
        <v>8.7756617330623198E-3</v>
      </c>
      <c r="AM16" s="127">
        <f t="shared" si="7"/>
        <v>9.7908830598649886E-4</v>
      </c>
      <c r="AN16" s="127">
        <f t="shared" si="7"/>
        <v>2.7035643098626298E-3</v>
      </c>
      <c r="AO16" s="127">
        <f t="shared" si="7"/>
        <v>1.1593648829617907E-3</v>
      </c>
      <c r="AP16" s="127">
        <f t="shared" si="7"/>
        <v>0.61414868101425335</v>
      </c>
      <c r="AQ16" s="127">
        <f t="shared" si="7"/>
        <v>5.3751514013881889E-2</v>
      </c>
      <c r="AR16" s="127">
        <f t="shared" si="7"/>
        <v>3.6614794427050654E-3</v>
      </c>
      <c r="AS16" s="127" t="e">
        <f t="shared" si="7"/>
        <v>#VALUE!</v>
      </c>
      <c r="AT16" s="127">
        <f t="shared" si="7"/>
        <v>2.8817055418658179E-3</v>
      </c>
      <c r="AU16" s="127">
        <f t="shared" si="7"/>
        <v>1</v>
      </c>
    </row>
    <row r="17" spans="1:47" x14ac:dyDescent="0.35">
      <c r="A17" s="98" t="s">
        <v>746</v>
      </c>
      <c r="B17" s="99">
        <v>2023</v>
      </c>
      <c r="AA17" s="127">
        <f t="shared" ref="AA17:AU17" si="8">AA8/$AU8</f>
        <v>1.8492703685034143E-2</v>
      </c>
      <c r="AB17" s="127">
        <f t="shared" si="8"/>
        <v>4.042275337382692E-2</v>
      </c>
      <c r="AC17" s="127">
        <f t="shared" si="8"/>
        <v>1.2783743880511726E-2</v>
      </c>
      <c r="AD17" s="127">
        <f t="shared" si="8"/>
        <v>4.3174467250415324E-4</v>
      </c>
      <c r="AE17" s="127">
        <f t="shared" si="8"/>
        <v>2.466981503156963E-2</v>
      </c>
      <c r="AF17" s="127">
        <f t="shared" si="8"/>
        <v>9.7182541663725183E-2</v>
      </c>
      <c r="AG17" s="127">
        <f t="shared" si="8"/>
        <v>3.3648128987779309E-2</v>
      </c>
      <c r="AH17" s="127">
        <f t="shared" si="8"/>
        <v>7.2904189526715067E-3</v>
      </c>
      <c r="AI17" s="127">
        <f t="shared" si="8"/>
        <v>1.5127253962864269E-2</v>
      </c>
      <c r="AJ17" s="127">
        <f t="shared" si="8"/>
        <v>4.0039461247194539E-3</v>
      </c>
      <c r="AK17" s="127">
        <f t="shared" si="8"/>
        <v>3.3002184989629035E-2</v>
      </c>
      <c r="AL17" s="127">
        <f t="shared" si="8"/>
        <v>5.2381422391566393E-3</v>
      </c>
      <c r="AM17" s="127">
        <f t="shared" si="8"/>
        <v>1.5812648630464613E-3</v>
      </c>
      <c r="AN17" s="127">
        <f t="shared" si="8"/>
        <v>6.9389032339354376E-3</v>
      </c>
      <c r="AO17" s="127">
        <f t="shared" si="8"/>
        <v>8.0412445253898548E-4</v>
      </c>
      <c r="AP17" s="127">
        <f t="shared" si="8"/>
        <v>0.64679129707006566</v>
      </c>
      <c r="AQ17" s="127">
        <f t="shared" si="8"/>
        <v>4.5914723702757156E-2</v>
      </c>
      <c r="AR17" s="127">
        <f t="shared" si="8"/>
        <v>1.7646484126926003E-3</v>
      </c>
      <c r="AS17" s="127" t="e">
        <f t="shared" si="8"/>
        <v>#VALUE!</v>
      </c>
      <c r="AT17" s="127">
        <f t="shared" si="8"/>
        <v>3.9116607009716912E-3</v>
      </c>
      <c r="AU17" s="127">
        <f t="shared" si="8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15"/>
  <sheetViews>
    <sheetView zoomScale="53" zoomScaleNormal="53" workbookViewId="0">
      <selection activeCell="AA11" sqref="AA11:BW15"/>
    </sheetView>
  </sheetViews>
  <sheetFormatPr defaultRowHeight="14.5" x14ac:dyDescent="0.35"/>
  <cols>
    <col min="1" max="1" width="13.1796875" bestFit="1" customWidth="1"/>
    <col min="2" max="2" width="22.7265625" customWidth="1"/>
    <col min="3" max="3" width="21.54296875" hidden="1" customWidth="1"/>
    <col min="4" max="4" width="16.90625" hidden="1" customWidth="1"/>
    <col min="5" max="6" width="9.54296875" hidden="1" customWidth="1"/>
    <col min="7" max="8" width="9.453125" hidden="1" customWidth="1"/>
    <col min="9" max="9" width="9.54296875" hidden="1" customWidth="1"/>
    <col min="10" max="11" width="10.54296875" hidden="1" customWidth="1"/>
    <col min="12" max="12" width="9.54296875" hidden="1" customWidth="1"/>
    <col min="13" max="13" width="9.7265625" hidden="1" customWidth="1"/>
    <col min="14" max="14" width="9.54296875" hidden="1" customWidth="1"/>
    <col min="15" max="15" width="9.7265625" hidden="1" customWidth="1"/>
    <col min="16" max="17" width="9.54296875" hidden="1" customWidth="1"/>
    <col min="18" max="18" width="10.7265625" hidden="1" customWidth="1"/>
    <col min="19" max="20" width="9.7265625" hidden="1" customWidth="1"/>
    <col min="21" max="21" width="9.54296875" hidden="1" customWidth="1"/>
    <col min="22" max="22" width="9.453125" hidden="1" customWidth="1"/>
    <col min="23" max="23" width="11.7265625" hidden="1" customWidth="1"/>
    <col min="24" max="24" width="11.54296875" hidden="1" customWidth="1"/>
    <col min="25" max="25" width="10.7265625" hidden="1" customWidth="1"/>
    <col min="26" max="26" width="17.54296875" hidden="1" customWidth="1"/>
    <col min="27" max="27" width="35.1796875" bestFit="1" customWidth="1"/>
    <col min="28" max="28" width="11.54296875" bestFit="1" customWidth="1"/>
    <col min="29" max="29" width="10.54296875" bestFit="1" customWidth="1"/>
    <col min="30" max="30" width="13.26953125" bestFit="1" customWidth="1"/>
    <col min="31" max="31" width="11.54296875" bestFit="1" customWidth="1"/>
    <col min="32" max="35" width="13.26953125" bestFit="1" customWidth="1"/>
    <col min="36" max="36" width="11.54296875" bestFit="1" customWidth="1"/>
    <col min="37" max="37" width="14.26953125" bestFit="1" customWidth="1"/>
    <col min="38" max="40" width="13.26953125" bestFit="1" customWidth="1"/>
    <col min="41" max="41" width="9.26953125" bestFit="1" customWidth="1"/>
    <col min="42" max="42" width="13.26953125" bestFit="1" customWidth="1"/>
    <col min="43" max="46" width="14.26953125" bestFit="1" customWidth="1"/>
    <col min="47" max="47" width="10.54296875" bestFit="1" customWidth="1"/>
    <col min="48" max="48" width="13.26953125" bestFit="1" customWidth="1"/>
    <col min="49" max="49" width="14.26953125" bestFit="1" customWidth="1"/>
    <col min="50" max="51" width="11.54296875" bestFit="1" customWidth="1"/>
    <col min="52" max="53" width="10.54296875" bestFit="1" customWidth="1"/>
    <col min="54" max="54" width="11.54296875" bestFit="1" customWidth="1"/>
    <col min="55" max="55" width="14.26953125" bestFit="1" customWidth="1"/>
    <col min="56" max="56" width="13.26953125" bestFit="1" customWidth="1"/>
    <col min="57" max="57" width="11.54296875" bestFit="1" customWidth="1"/>
    <col min="58" max="58" width="13.26953125" bestFit="1" customWidth="1"/>
    <col min="59" max="59" width="11.54296875" bestFit="1" customWidth="1"/>
    <col min="60" max="60" width="13.26953125" bestFit="1" customWidth="1"/>
    <col min="61" max="61" width="10.54296875" bestFit="1" customWidth="1"/>
    <col min="62" max="62" width="13.26953125" bestFit="1" customWidth="1"/>
    <col min="63" max="63" width="14.26953125" bestFit="1" customWidth="1"/>
    <col min="64" max="64" width="9.26953125" bestFit="1" customWidth="1"/>
    <col min="65" max="65" width="10.54296875" bestFit="1" customWidth="1"/>
    <col min="66" max="66" width="11.54296875" bestFit="1" customWidth="1"/>
    <col min="67" max="67" width="13.26953125" bestFit="1" customWidth="1"/>
    <col min="68" max="68" width="11.54296875" bestFit="1" customWidth="1"/>
    <col min="69" max="69" width="13.26953125" bestFit="1" customWidth="1"/>
    <col min="70" max="70" width="11.54296875" bestFit="1" customWidth="1"/>
    <col min="71" max="72" width="14.26953125" bestFit="1" customWidth="1"/>
    <col min="73" max="73" width="13.26953125" bestFit="1" customWidth="1"/>
    <col min="74" max="74" width="10.54296875" bestFit="1" customWidth="1"/>
    <col min="75" max="75" width="49.54296875" bestFit="1" customWidth="1"/>
    <col min="76" max="76" width="12.81640625" bestFit="1" customWidth="1"/>
  </cols>
  <sheetData>
    <row r="1" spans="1:76" x14ac:dyDescent="0.35">
      <c r="A1" s="98" t="s">
        <v>22</v>
      </c>
      <c r="B1" s="98" t="s">
        <v>23</v>
      </c>
      <c r="C1" s="98" t="s">
        <v>24</v>
      </c>
      <c r="D1" s="98" t="s">
        <v>25</v>
      </c>
      <c r="E1" s="98" t="s">
        <v>26</v>
      </c>
      <c r="F1" s="98" t="s">
        <v>27</v>
      </c>
      <c r="G1" s="98" t="s">
        <v>28</v>
      </c>
      <c r="H1" s="98" t="s">
        <v>29</v>
      </c>
      <c r="I1" s="98" t="s">
        <v>30</v>
      </c>
      <c r="J1" s="98" t="s">
        <v>31</v>
      </c>
      <c r="K1" s="98" t="s">
        <v>32</v>
      </c>
      <c r="L1" s="98" t="s">
        <v>33</v>
      </c>
      <c r="M1" s="98" t="s">
        <v>34</v>
      </c>
      <c r="N1" s="98" t="s">
        <v>35</v>
      </c>
      <c r="O1" s="98" t="s">
        <v>36</v>
      </c>
      <c r="P1" s="98" t="s">
        <v>37</v>
      </c>
      <c r="Q1" s="98" t="s">
        <v>38</v>
      </c>
      <c r="R1" s="98" t="s">
        <v>39</v>
      </c>
      <c r="S1" s="98" t="s">
        <v>40</v>
      </c>
      <c r="T1" s="98" t="s">
        <v>41</v>
      </c>
      <c r="U1" s="98" t="s">
        <v>42</v>
      </c>
      <c r="V1" s="98" t="s">
        <v>43</v>
      </c>
      <c r="W1" s="98" t="s">
        <v>44</v>
      </c>
      <c r="X1" s="98" t="s">
        <v>45</v>
      </c>
      <c r="Y1" s="98" t="s">
        <v>46</v>
      </c>
      <c r="Z1" s="98" t="s">
        <v>47</v>
      </c>
    </row>
    <row r="2" spans="1:76" x14ac:dyDescent="0.35">
      <c r="A2" s="98" t="s">
        <v>738</v>
      </c>
      <c r="B2" s="99">
        <v>2017</v>
      </c>
      <c r="C2" s="98">
        <v>193595795</v>
      </c>
      <c r="D2" s="98">
        <v>11252.963688939248</v>
      </c>
      <c r="E2" s="98">
        <v>809.380888455883</v>
      </c>
      <c r="F2" s="98">
        <v>2229.5531215119272</v>
      </c>
      <c r="G2" s="98">
        <v>218.19211344795707</v>
      </c>
      <c r="H2" s="98">
        <v>487.19393075671957</v>
      </c>
      <c r="I2" s="98">
        <v>2064.3421392734699</v>
      </c>
      <c r="J2" s="98">
        <v>9427.9836582156822</v>
      </c>
      <c r="K2" s="98">
        <v>4005.9026644960231</v>
      </c>
      <c r="L2" s="98">
        <v>837.48682991404326</v>
      </c>
      <c r="M2" s="98">
        <v>1154.9495424727888</v>
      </c>
      <c r="N2" s="98">
        <v>1010.3056745736244</v>
      </c>
      <c r="O2" s="98">
        <v>3789.2078865500175</v>
      </c>
      <c r="P2" s="98">
        <v>1056.1061262048931</v>
      </c>
      <c r="Q2" s="98">
        <v>697.12769005699784</v>
      </c>
      <c r="R2" s="98">
        <v>5853.5271734848084</v>
      </c>
      <c r="S2" s="98">
        <v>2686.6419221436176</v>
      </c>
      <c r="T2" s="98">
        <v>884.23355347554184</v>
      </c>
      <c r="U2" s="98">
        <v>1527.2474061902089</v>
      </c>
      <c r="V2" s="98">
        <v>-403.70151391846798</v>
      </c>
      <c r="W2" s="98"/>
      <c r="X2" s="98"/>
      <c r="Y2" s="98">
        <v>17152</v>
      </c>
      <c r="Z2" s="98">
        <v>49588.644496244975</v>
      </c>
    </row>
    <row r="3" spans="1:76" x14ac:dyDescent="0.35">
      <c r="A3" s="98" t="s">
        <v>738</v>
      </c>
      <c r="B3" s="99">
        <v>2018</v>
      </c>
      <c r="C3" s="98">
        <v>332712552</v>
      </c>
      <c r="D3" s="98">
        <v>12201.663940569673</v>
      </c>
      <c r="E3" s="98">
        <v>758.33144403506151</v>
      </c>
      <c r="F3" s="98">
        <v>2392.7305313022453</v>
      </c>
      <c r="G3" s="98">
        <v>213.81539960441094</v>
      </c>
      <c r="H3" s="98">
        <v>571.04764462161097</v>
      </c>
      <c r="I3" s="98">
        <v>2465.2707533879925</v>
      </c>
      <c r="J3" s="98">
        <v>10350.334931444017</v>
      </c>
      <c r="K3" s="98">
        <v>4993.6705998289963</v>
      </c>
      <c r="L3" s="98">
        <v>982.55110941357248</v>
      </c>
      <c r="M3" s="98">
        <v>1230.001911796031</v>
      </c>
      <c r="N3" s="98">
        <v>864.83961671914062</v>
      </c>
      <c r="O3" s="98">
        <v>4210.7691820304653</v>
      </c>
      <c r="P3" s="98">
        <v>1122.0705312990135</v>
      </c>
      <c r="Q3" s="98">
        <v>814.71950291387429</v>
      </c>
      <c r="R3" s="98">
        <v>6902.641805450583</v>
      </c>
      <c r="S3" s="98">
        <v>2709.657178732733</v>
      </c>
      <c r="T3" s="98">
        <v>557.03540986914254</v>
      </c>
      <c r="U3" s="98">
        <v>1686.7108010051043</v>
      </c>
      <c r="V3" s="98">
        <v>-387.84550894736208</v>
      </c>
      <c r="W3" s="98"/>
      <c r="X3" s="98"/>
      <c r="Y3" s="98">
        <v>17152</v>
      </c>
      <c r="Z3" s="98">
        <v>54640.016785076303</v>
      </c>
    </row>
    <row r="4" spans="1:76" x14ac:dyDescent="0.35">
      <c r="A4" s="98" t="s">
        <v>738</v>
      </c>
      <c r="B4" s="99">
        <v>2019</v>
      </c>
      <c r="C4" s="98">
        <v>296039121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>
        <v>340671</v>
      </c>
      <c r="X4" s="98"/>
      <c r="Y4" s="98">
        <v>17152</v>
      </c>
      <c r="Z4" s="98">
        <v>60820</v>
      </c>
      <c r="AA4" s="100">
        <v>555033</v>
      </c>
      <c r="AB4" s="100">
        <v>512880</v>
      </c>
      <c r="AC4" s="100">
        <v>14000</v>
      </c>
      <c r="AD4" s="100">
        <v>1369826.2</v>
      </c>
      <c r="AE4" s="100">
        <v>230900</v>
      </c>
      <c r="AF4" s="100">
        <v>1709040</v>
      </c>
      <c r="AG4" s="100">
        <v>3139140</v>
      </c>
      <c r="AH4" s="100">
        <v>6967420</v>
      </c>
      <c r="AI4" s="100">
        <v>1437200</v>
      </c>
      <c r="AJ4" s="100">
        <v>100000</v>
      </c>
      <c r="AK4" s="100">
        <v>13201460</v>
      </c>
      <c r="AL4" s="100">
        <v>3841950</v>
      </c>
      <c r="AM4" s="100">
        <v>2132450</v>
      </c>
      <c r="AN4" s="100">
        <v>9753180</v>
      </c>
      <c r="AO4" s="100">
        <v>0</v>
      </c>
      <c r="AP4" s="100">
        <v>3824020</v>
      </c>
      <c r="AQ4" s="100">
        <v>13149732</v>
      </c>
      <c r="AR4" s="100">
        <v>11592331.800000001</v>
      </c>
      <c r="AS4" s="100">
        <v>31914313</v>
      </c>
      <c r="AT4" s="100">
        <v>12357853</v>
      </c>
      <c r="AU4" s="100">
        <v>45800</v>
      </c>
      <c r="AV4" s="100">
        <v>9975156</v>
      </c>
      <c r="AW4" s="100">
        <v>10429146</v>
      </c>
      <c r="AX4" s="100">
        <v>110000</v>
      </c>
      <c r="AY4" s="100">
        <v>207500</v>
      </c>
      <c r="AZ4" s="100">
        <v>13600</v>
      </c>
      <c r="BA4" s="100">
        <v>26000</v>
      </c>
      <c r="BB4" s="100">
        <v>292500</v>
      </c>
      <c r="BC4" s="100">
        <v>25291349</v>
      </c>
      <c r="BD4" s="100">
        <v>3460290</v>
      </c>
      <c r="BE4" s="100">
        <v>188600</v>
      </c>
      <c r="BF4" s="100">
        <v>4743935</v>
      </c>
      <c r="BG4" s="100">
        <v>211500</v>
      </c>
      <c r="BH4" s="100">
        <v>1329960</v>
      </c>
      <c r="BI4" s="100">
        <v>25000</v>
      </c>
      <c r="BJ4" s="100">
        <v>1968000</v>
      </c>
      <c r="BK4" s="100">
        <v>20843059</v>
      </c>
      <c r="BL4" s="100">
        <v>0</v>
      </c>
      <c r="BM4" s="100">
        <v>48000</v>
      </c>
      <c r="BN4" s="100">
        <v>175000</v>
      </c>
      <c r="BO4" s="100">
        <v>6928108</v>
      </c>
      <c r="BP4" s="100">
        <v>103060</v>
      </c>
      <c r="BQ4" s="100">
        <v>2886937</v>
      </c>
      <c r="BR4" s="100">
        <v>421678</v>
      </c>
      <c r="BS4" s="100">
        <v>27272011</v>
      </c>
      <c r="BT4" s="100">
        <v>28106857</v>
      </c>
      <c r="BU4" s="100">
        <v>2000500</v>
      </c>
      <c r="BV4" s="100">
        <v>47950</v>
      </c>
      <c r="BW4" s="100">
        <v>30000</v>
      </c>
      <c r="BX4" s="129">
        <f>SUM(AA4:BW4)</f>
        <v>264984225</v>
      </c>
    </row>
    <row r="5" spans="1:76" x14ac:dyDescent="0.35">
      <c r="A5" s="98" t="s">
        <v>738</v>
      </c>
      <c r="B5" s="99">
        <v>2020</v>
      </c>
      <c r="C5" s="98">
        <v>302005400</v>
      </c>
      <c r="D5" s="98">
        <v>15875</v>
      </c>
      <c r="E5" s="98">
        <v>845</v>
      </c>
      <c r="F5" s="98">
        <v>2629</v>
      </c>
      <c r="G5" s="98">
        <v>249</v>
      </c>
      <c r="H5" s="98">
        <v>564</v>
      </c>
      <c r="I5" s="98">
        <v>3391</v>
      </c>
      <c r="J5" s="98">
        <v>12440</v>
      </c>
      <c r="K5" s="98">
        <v>5730</v>
      </c>
      <c r="L5" s="98">
        <v>765</v>
      </c>
      <c r="M5" s="98">
        <v>1441</v>
      </c>
      <c r="N5" s="98">
        <v>915</v>
      </c>
      <c r="O5" s="98">
        <v>4752</v>
      </c>
      <c r="P5" s="98">
        <v>1092</v>
      </c>
      <c r="Q5" s="98">
        <v>775</v>
      </c>
      <c r="R5" s="98">
        <v>7500</v>
      </c>
      <c r="S5" s="98">
        <v>2695</v>
      </c>
      <c r="T5" s="98">
        <v>707</v>
      </c>
      <c r="U5" s="98">
        <v>1618</v>
      </c>
      <c r="V5" s="98">
        <v>-391</v>
      </c>
      <c r="W5" s="98">
        <v>350614</v>
      </c>
      <c r="X5" s="98"/>
      <c r="Y5" s="98">
        <v>17152</v>
      </c>
      <c r="Z5" s="98">
        <v>63592</v>
      </c>
      <c r="AA5" s="73">
        <v>279986</v>
      </c>
      <c r="AB5" s="73">
        <v>681205</v>
      </c>
      <c r="AC5" s="73">
        <v>10700</v>
      </c>
      <c r="AD5" s="73">
        <v>468679</v>
      </c>
      <c r="AE5" s="73">
        <v>0</v>
      </c>
      <c r="AF5" s="73">
        <v>6071955</v>
      </c>
      <c r="AG5" s="73">
        <v>3220280</v>
      </c>
      <c r="AH5" s="73">
        <v>6019425</v>
      </c>
      <c r="AI5" s="73">
        <v>749900</v>
      </c>
      <c r="AJ5" s="73">
        <v>0</v>
      </c>
      <c r="AK5" s="73">
        <v>39306146</v>
      </c>
      <c r="AL5" s="73">
        <v>3678150</v>
      </c>
      <c r="AM5" s="73">
        <v>1287100</v>
      </c>
      <c r="AN5" s="73">
        <v>28886958</v>
      </c>
      <c r="AO5" s="73">
        <v>54550</v>
      </c>
      <c r="AP5" s="73">
        <v>2314935</v>
      </c>
      <c r="AQ5" s="73">
        <v>33702010</v>
      </c>
      <c r="AR5" s="73">
        <v>6500</v>
      </c>
      <c r="AS5" s="73">
        <v>27741301.600000001</v>
      </c>
      <c r="AT5" s="73">
        <v>5043123</v>
      </c>
      <c r="AU5" s="73">
        <v>132900</v>
      </c>
      <c r="AV5" s="73">
        <v>19305740</v>
      </c>
      <c r="AW5" s="73">
        <v>10358734</v>
      </c>
      <c r="AX5" s="73">
        <v>130000</v>
      </c>
      <c r="AY5" s="73">
        <v>276783</v>
      </c>
      <c r="AZ5" s="73">
        <v>3300</v>
      </c>
      <c r="BA5" s="73">
        <v>441500</v>
      </c>
      <c r="BB5" s="73">
        <v>404000</v>
      </c>
      <c r="BC5" s="73">
        <v>1661425</v>
      </c>
      <c r="BD5" s="73">
        <v>4831509</v>
      </c>
      <c r="BE5" s="73">
        <v>6000</v>
      </c>
      <c r="BF5" s="73">
        <v>6876617</v>
      </c>
      <c r="BG5" s="73">
        <v>503334</v>
      </c>
      <c r="BH5" s="73">
        <v>699657</v>
      </c>
      <c r="BI5" s="73">
        <v>9943</v>
      </c>
      <c r="BJ5" s="73">
        <v>434100</v>
      </c>
      <c r="BK5" s="73">
        <v>22755993</v>
      </c>
      <c r="BL5" s="73">
        <v>200200</v>
      </c>
      <c r="BM5" s="73">
        <v>24400</v>
      </c>
      <c r="BN5" s="73">
        <v>856480</v>
      </c>
      <c r="BO5" s="73">
        <v>3895900</v>
      </c>
      <c r="BP5" s="73">
        <v>100100</v>
      </c>
      <c r="BQ5" s="73">
        <v>3020710</v>
      </c>
      <c r="BR5" s="73">
        <v>56670</v>
      </c>
      <c r="BS5" s="73">
        <v>34569495</v>
      </c>
      <c r="BT5" s="73">
        <v>13860113</v>
      </c>
      <c r="BU5" s="73">
        <v>1886000</v>
      </c>
      <c r="BV5" s="73">
        <v>186700</v>
      </c>
      <c r="BW5" s="73">
        <v>637000</v>
      </c>
      <c r="BX5" s="129">
        <f t="shared" ref="BX5:BX10" si="0">SUM(AA5:BW5)</f>
        <v>287648206.60000002</v>
      </c>
    </row>
    <row r="6" spans="1:76" x14ac:dyDescent="0.35">
      <c r="A6" s="98" t="s">
        <v>738</v>
      </c>
      <c r="B6" s="99">
        <v>2021</v>
      </c>
      <c r="C6" s="98">
        <v>325076174</v>
      </c>
      <c r="D6" s="98">
        <v>17277</v>
      </c>
      <c r="E6" s="98">
        <v>1010</v>
      </c>
      <c r="F6" s="98">
        <v>2713</v>
      </c>
      <c r="G6" s="98">
        <v>243</v>
      </c>
      <c r="H6" s="98">
        <v>681</v>
      </c>
      <c r="I6" s="98">
        <v>3851</v>
      </c>
      <c r="J6" s="98">
        <v>13702</v>
      </c>
      <c r="K6" s="98">
        <v>7423</v>
      </c>
      <c r="L6" s="98">
        <v>1313</v>
      </c>
      <c r="M6" s="98">
        <v>1507</v>
      </c>
      <c r="N6" s="98">
        <v>1071</v>
      </c>
      <c r="O6" s="98">
        <v>5092</v>
      </c>
      <c r="P6" s="98">
        <v>1227</v>
      </c>
      <c r="Q6" s="98">
        <v>883</v>
      </c>
      <c r="R6" s="98">
        <v>9429</v>
      </c>
      <c r="S6" s="98">
        <v>3413</v>
      </c>
      <c r="T6" s="98">
        <v>779</v>
      </c>
      <c r="U6" s="98">
        <v>1813</v>
      </c>
      <c r="V6" s="98">
        <v>-432</v>
      </c>
      <c r="W6" s="98">
        <v>355073</v>
      </c>
      <c r="X6" s="98"/>
      <c r="Y6" s="98">
        <v>17152</v>
      </c>
      <c r="Z6" s="98">
        <v>72997</v>
      </c>
      <c r="AA6" s="73">
        <v>463680</v>
      </c>
      <c r="AB6" s="73">
        <v>113860</v>
      </c>
      <c r="AC6" s="73">
        <v>10700</v>
      </c>
      <c r="AD6" s="73">
        <v>2946083.5</v>
      </c>
      <c r="AE6" s="73">
        <v>0</v>
      </c>
      <c r="AF6" s="73">
        <v>6114517</v>
      </c>
      <c r="AG6" s="73">
        <v>4016080</v>
      </c>
      <c r="AH6" s="73">
        <v>10456635</v>
      </c>
      <c r="AI6" s="73">
        <v>1488250</v>
      </c>
      <c r="AJ6" s="73">
        <v>87500</v>
      </c>
      <c r="AK6" s="73">
        <v>5410820</v>
      </c>
      <c r="AL6" s="73">
        <v>1854420</v>
      </c>
      <c r="AM6" s="73">
        <v>1126870</v>
      </c>
      <c r="AN6" s="73">
        <v>14176103</v>
      </c>
      <c r="AO6" s="73">
        <v>546400</v>
      </c>
      <c r="AP6" s="73">
        <v>13907090</v>
      </c>
      <c r="AQ6" s="73">
        <v>71960959</v>
      </c>
      <c r="AR6" s="73">
        <v>1667683</v>
      </c>
      <c r="AS6" s="73">
        <v>35073654</v>
      </c>
      <c r="AT6" s="73">
        <v>1210300</v>
      </c>
      <c r="AU6" s="73">
        <v>133400</v>
      </c>
      <c r="AV6" s="73">
        <v>9695648</v>
      </c>
      <c r="AW6" s="73">
        <v>1209542</v>
      </c>
      <c r="AX6" s="73">
        <v>185000</v>
      </c>
      <c r="AY6" s="73">
        <v>218200</v>
      </c>
      <c r="AZ6" s="73">
        <v>25960</v>
      </c>
      <c r="BA6" s="73">
        <v>50300</v>
      </c>
      <c r="BB6" s="73">
        <v>952638</v>
      </c>
      <c r="BC6" s="73">
        <v>18192450</v>
      </c>
      <c r="BD6" s="73">
        <v>3952140</v>
      </c>
      <c r="BE6" s="73">
        <v>48700</v>
      </c>
      <c r="BF6" s="73">
        <v>4695408.8899999997</v>
      </c>
      <c r="BG6" s="73">
        <v>349538</v>
      </c>
      <c r="BH6" s="73">
        <v>128000</v>
      </c>
      <c r="BI6" s="73">
        <v>36595</v>
      </c>
      <c r="BJ6" s="73">
        <v>120810</v>
      </c>
      <c r="BK6" s="73">
        <v>18045980</v>
      </c>
      <c r="BL6" s="73">
        <v>207420</v>
      </c>
      <c r="BM6" s="73">
        <v>778850</v>
      </c>
      <c r="BN6" s="73">
        <v>2673250</v>
      </c>
      <c r="BO6" s="73">
        <v>4699440</v>
      </c>
      <c r="BP6" s="73">
        <v>74500</v>
      </c>
      <c r="BQ6" s="73">
        <v>2764750</v>
      </c>
      <c r="BR6" s="73">
        <v>600700</v>
      </c>
      <c r="BS6" s="73">
        <v>50256555</v>
      </c>
      <c r="BT6" s="73">
        <v>7918753</v>
      </c>
      <c r="BU6" s="73">
        <v>1330290</v>
      </c>
      <c r="BV6" s="73">
        <v>8500</v>
      </c>
      <c r="BW6" s="73">
        <v>983500</v>
      </c>
      <c r="BX6" s="129">
        <f t="shared" si="0"/>
        <v>302968422.38999999</v>
      </c>
    </row>
    <row r="7" spans="1:76" x14ac:dyDescent="0.35">
      <c r="A7" s="98" t="s">
        <v>738</v>
      </c>
      <c r="B7" s="99">
        <v>2022</v>
      </c>
      <c r="C7" s="98">
        <v>426497788</v>
      </c>
      <c r="D7" s="98">
        <v>17683</v>
      </c>
      <c r="E7" s="98">
        <v>1308</v>
      </c>
      <c r="F7" s="98">
        <v>2746</v>
      </c>
      <c r="G7" s="98">
        <v>226</v>
      </c>
      <c r="H7" s="98">
        <v>659</v>
      </c>
      <c r="I7" s="98">
        <v>4314</v>
      </c>
      <c r="J7" s="98">
        <v>14653</v>
      </c>
      <c r="K7" s="98">
        <v>1257</v>
      </c>
      <c r="L7" s="98">
        <v>1447</v>
      </c>
      <c r="M7" s="98">
        <v>1663</v>
      </c>
      <c r="N7" s="98">
        <v>1263</v>
      </c>
      <c r="O7" s="98">
        <v>5474</v>
      </c>
      <c r="P7" s="98">
        <v>1287</v>
      </c>
      <c r="Q7" s="98">
        <v>1091</v>
      </c>
      <c r="R7" s="98">
        <v>9407</v>
      </c>
      <c r="S7" s="98">
        <v>3537</v>
      </c>
      <c r="T7" s="98">
        <v>876</v>
      </c>
      <c r="U7" s="98">
        <v>1966</v>
      </c>
      <c r="V7" s="98">
        <v>-465</v>
      </c>
      <c r="W7" s="98">
        <v>359531</v>
      </c>
      <c r="X7" s="98">
        <v>154241</v>
      </c>
      <c r="Y7" s="98">
        <v>17152</v>
      </c>
      <c r="Z7" s="98">
        <v>70392</v>
      </c>
      <c r="AA7" s="73">
        <v>1114454</v>
      </c>
      <c r="AB7" s="73">
        <v>59500</v>
      </c>
      <c r="AC7" s="73">
        <v>6000</v>
      </c>
      <c r="AD7" s="73">
        <v>2140391</v>
      </c>
      <c r="AE7" s="73">
        <v>106500</v>
      </c>
      <c r="AF7" s="73">
        <v>3759390</v>
      </c>
      <c r="AG7" s="73">
        <v>3549880</v>
      </c>
      <c r="AH7" s="73">
        <v>6692540</v>
      </c>
      <c r="AI7" s="73">
        <v>1457000</v>
      </c>
      <c r="AJ7" s="73">
        <v>58500</v>
      </c>
      <c r="AK7" s="73">
        <v>5565470</v>
      </c>
      <c r="AL7" s="73">
        <v>1721500</v>
      </c>
      <c r="AM7" s="73">
        <v>39050</v>
      </c>
      <c r="AN7" s="73">
        <v>37602798</v>
      </c>
      <c r="AO7" s="73">
        <v>503230</v>
      </c>
      <c r="AP7" s="73">
        <v>7918900</v>
      </c>
      <c r="AQ7" s="73">
        <v>51163551</v>
      </c>
      <c r="AR7" s="73">
        <v>2323417</v>
      </c>
      <c r="AS7" s="73">
        <v>0</v>
      </c>
      <c r="AT7" s="73">
        <v>215518</v>
      </c>
      <c r="AU7" s="73">
        <v>3000</v>
      </c>
      <c r="AV7" s="73">
        <v>13686256</v>
      </c>
      <c r="AW7" s="73">
        <v>8236804</v>
      </c>
      <c r="AX7" s="73">
        <v>294074</v>
      </c>
      <c r="AY7" s="73">
        <v>109000</v>
      </c>
      <c r="AZ7" s="73">
        <v>4500</v>
      </c>
      <c r="BA7" s="73">
        <v>770100</v>
      </c>
      <c r="BB7" s="73">
        <v>4714055.97</v>
      </c>
      <c r="BC7" s="73">
        <v>17599493</v>
      </c>
      <c r="BD7" s="73">
        <v>2330315</v>
      </c>
      <c r="BE7" s="73">
        <v>10000</v>
      </c>
      <c r="BF7" s="73">
        <v>4150385</v>
      </c>
      <c r="BG7" s="73">
        <v>0</v>
      </c>
      <c r="BH7" s="73">
        <v>311500</v>
      </c>
      <c r="BI7" s="73">
        <v>61598</v>
      </c>
      <c r="BJ7" s="73">
        <v>15000</v>
      </c>
      <c r="BK7" s="73">
        <v>14964957</v>
      </c>
      <c r="BL7" s="73">
        <v>430180</v>
      </c>
      <c r="BM7" s="73">
        <v>1367300</v>
      </c>
      <c r="BN7" s="73">
        <v>1370550</v>
      </c>
      <c r="BO7" s="73">
        <v>1431000</v>
      </c>
      <c r="BP7" s="73">
        <v>197740</v>
      </c>
      <c r="BQ7" s="73">
        <v>1503970</v>
      </c>
      <c r="BR7" s="73">
        <v>2349560</v>
      </c>
      <c r="BS7" s="73">
        <v>53678447</v>
      </c>
      <c r="BT7" s="73">
        <v>12498083</v>
      </c>
      <c r="BU7" s="73">
        <v>2396000</v>
      </c>
      <c r="BV7" s="73">
        <v>243500</v>
      </c>
      <c r="BW7" s="73">
        <v>1258000</v>
      </c>
      <c r="BX7" s="129">
        <f t="shared" si="0"/>
        <v>271982956.97000003</v>
      </c>
    </row>
    <row r="8" spans="1:76" x14ac:dyDescent="0.35">
      <c r="A8" s="98" t="s">
        <v>738</v>
      </c>
      <c r="B8" s="99">
        <v>2023</v>
      </c>
      <c r="C8" s="98">
        <v>88934</v>
      </c>
      <c r="D8" s="98">
        <v>21801</v>
      </c>
      <c r="E8" s="98">
        <v>1133</v>
      </c>
      <c r="F8" s="98">
        <v>2950</v>
      </c>
      <c r="G8" s="98">
        <v>557</v>
      </c>
      <c r="H8" s="98">
        <v>673</v>
      </c>
      <c r="I8" s="98">
        <v>4545</v>
      </c>
      <c r="J8" s="98">
        <v>15701</v>
      </c>
      <c r="K8" s="98">
        <v>11058</v>
      </c>
      <c r="L8" s="98">
        <v>1874</v>
      </c>
      <c r="M8" s="98">
        <v>1759</v>
      </c>
      <c r="N8" s="98">
        <v>1492</v>
      </c>
      <c r="O8" s="98">
        <v>5955</v>
      </c>
      <c r="P8" s="98">
        <v>1410</v>
      </c>
      <c r="Q8" s="98">
        <v>1292</v>
      </c>
      <c r="R8" s="98">
        <v>10435</v>
      </c>
      <c r="S8" s="98">
        <v>3793</v>
      </c>
      <c r="T8" s="98">
        <v>946</v>
      </c>
      <c r="U8" s="98">
        <v>2135</v>
      </c>
      <c r="V8" s="98">
        <v>-574</v>
      </c>
      <c r="W8" s="98">
        <v>363990</v>
      </c>
      <c r="X8" s="98"/>
      <c r="Y8" s="98">
        <v>17152</v>
      </c>
      <c r="Z8" s="98"/>
      <c r="AA8" s="73">
        <v>1615291</v>
      </c>
      <c r="AB8" s="73">
        <v>122400</v>
      </c>
      <c r="AC8" s="73">
        <v>27450</v>
      </c>
      <c r="AD8" s="73">
        <v>4025655</v>
      </c>
      <c r="AE8" s="73">
        <v>3000</v>
      </c>
      <c r="AF8" s="73">
        <v>2412860</v>
      </c>
      <c r="AG8" s="73">
        <v>2107846</v>
      </c>
      <c r="AH8" s="73">
        <v>8857050</v>
      </c>
      <c r="AI8" s="73">
        <v>1285800</v>
      </c>
      <c r="AJ8" s="73">
        <v>364950</v>
      </c>
      <c r="AK8" s="73">
        <v>0</v>
      </c>
      <c r="AL8" s="73">
        <v>1472730</v>
      </c>
      <c r="AM8" s="73">
        <v>32129</v>
      </c>
      <c r="AN8" s="73">
        <v>31035535</v>
      </c>
      <c r="AO8" s="73">
        <v>0</v>
      </c>
      <c r="AP8" s="73">
        <v>1604400</v>
      </c>
      <c r="AQ8" s="73">
        <v>67334606.980000004</v>
      </c>
      <c r="AR8" s="73">
        <v>18540</v>
      </c>
      <c r="AS8" s="73">
        <v>199906049.5</v>
      </c>
      <c r="AT8" s="73">
        <v>10260799</v>
      </c>
      <c r="AU8" s="73">
        <v>0</v>
      </c>
      <c r="AV8" s="73">
        <v>9502075</v>
      </c>
      <c r="AW8" s="73">
        <v>1899175</v>
      </c>
      <c r="AX8" s="73">
        <v>250000</v>
      </c>
      <c r="AY8" s="73">
        <v>0</v>
      </c>
      <c r="AZ8" s="73">
        <v>0</v>
      </c>
      <c r="BA8" s="73">
        <v>681800</v>
      </c>
      <c r="BB8" s="73">
        <v>5336187.4000000004</v>
      </c>
      <c r="BC8" s="73">
        <v>0</v>
      </c>
      <c r="BD8" s="73">
        <v>1949298</v>
      </c>
      <c r="BE8" s="73">
        <v>0</v>
      </c>
      <c r="BF8" s="73">
        <v>1600812.19</v>
      </c>
      <c r="BG8" s="73">
        <v>0</v>
      </c>
      <c r="BH8" s="73">
        <v>399730</v>
      </c>
      <c r="BI8" s="73">
        <v>0</v>
      </c>
      <c r="BJ8" s="73">
        <v>0</v>
      </c>
      <c r="BK8" s="73">
        <v>15716902</v>
      </c>
      <c r="BL8" s="73">
        <v>1246000</v>
      </c>
      <c r="BM8" s="73">
        <v>1601000</v>
      </c>
      <c r="BN8" s="73">
        <v>108400</v>
      </c>
      <c r="BO8" s="73">
        <v>105000</v>
      </c>
      <c r="BP8" s="73">
        <v>888090</v>
      </c>
      <c r="BQ8" s="73">
        <v>0</v>
      </c>
      <c r="BR8" s="73">
        <v>2367522</v>
      </c>
      <c r="BS8" s="73">
        <v>68002988.5</v>
      </c>
      <c r="BT8" s="73">
        <v>10531829</v>
      </c>
      <c r="BU8" s="73">
        <v>3285000</v>
      </c>
      <c r="BV8" s="73">
        <v>148400</v>
      </c>
      <c r="BW8" s="73">
        <v>1509000</v>
      </c>
      <c r="BX8" s="129">
        <f t="shared" si="0"/>
        <v>459616300.56999999</v>
      </c>
    </row>
    <row r="9" spans="1:76" x14ac:dyDescent="0.35">
      <c r="A9" s="98"/>
      <c r="B9" s="99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73">
        <f>SUM(AA4:AA8)</f>
        <v>4028444</v>
      </c>
      <c r="AB9" s="73">
        <f t="shared" ref="AB9:BW9" si="1">SUM(AB4:AB8)</f>
        <v>1489845</v>
      </c>
      <c r="AC9" s="73">
        <f t="shared" si="1"/>
        <v>68850</v>
      </c>
      <c r="AD9" s="73">
        <f t="shared" si="1"/>
        <v>10950634.699999999</v>
      </c>
      <c r="AE9" s="73">
        <f t="shared" si="1"/>
        <v>340400</v>
      </c>
      <c r="AF9" s="73">
        <f t="shared" si="1"/>
        <v>20067762</v>
      </c>
      <c r="AG9" s="73">
        <f t="shared" si="1"/>
        <v>16033226</v>
      </c>
      <c r="AH9" s="73">
        <f t="shared" si="1"/>
        <v>38993070</v>
      </c>
      <c r="AI9" s="73">
        <f t="shared" si="1"/>
        <v>6418150</v>
      </c>
      <c r="AJ9" s="73">
        <f t="shared" si="1"/>
        <v>610950</v>
      </c>
      <c r="AK9" s="73">
        <f t="shared" si="1"/>
        <v>63483896</v>
      </c>
      <c r="AL9" s="73">
        <f t="shared" si="1"/>
        <v>12568750</v>
      </c>
      <c r="AM9" s="73">
        <f t="shared" si="1"/>
        <v>4617599</v>
      </c>
      <c r="AN9" s="73">
        <f t="shared" si="1"/>
        <v>121454574</v>
      </c>
      <c r="AO9" s="73">
        <f t="shared" si="1"/>
        <v>1104180</v>
      </c>
      <c r="AP9" s="73">
        <f t="shared" si="1"/>
        <v>29569345</v>
      </c>
      <c r="AQ9" s="73">
        <f t="shared" si="1"/>
        <v>237310858.98000002</v>
      </c>
      <c r="AR9" s="73">
        <f t="shared" si="1"/>
        <v>15608471.800000001</v>
      </c>
      <c r="AS9" s="73">
        <f t="shared" si="1"/>
        <v>294635318.10000002</v>
      </c>
      <c r="AT9" s="73">
        <f t="shared" si="1"/>
        <v>29087593</v>
      </c>
      <c r="AU9" s="73">
        <f t="shared" si="1"/>
        <v>315100</v>
      </c>
      <c r="AV9" s="73">
        <f t="shared" si="1"/>
        <v>62164875</v>
      </c>
      <c r="AW9" s="73">
        <f t="shared" si="1"/>
        <v>32133401</v>
      </c>
      <c r="AX9" s="73">
        <f t="shared" si="1"/>
        <v>969074</v>
      </c>
      <c r="AY9" s="73">
        <f t="shared" si="1"/>
        <v>811483</v>
      </c>
      <c r="AZ9" s="73">
        <f t="shared" si="1"/>
        <v>47360</v>
      </c>
      <c r="BA9" s="73">
        <f t="shared" si="1"/>
        <v>1969700</v>
      </c>
      <c r="BB9" s="73">
        <f t="shared" si="1"/>
        <v>11699381.370000001</v>
      </c>
      <c r="BC9" s="73">
        <f t="shared" si="1"/>
        <v>62744717</v>
      </c>
      <c r="BD9" s="73">
        <f t="shared" si="1"/>
        <v>16523552</v>
      </c>
      <c r="BE9" s="73">
        <f t="shared" si="1"/>
        <v>253300</v>
      </c>
      <c r="BF9" s="73">
        <f t="shared" si="1"/>
        <v>22067158.080000002</v>
      </c>
      <c r="BG9" s="73">
        <f t="shared" si="1"/>
        <v>1064372</v>
      </c>
      <c r="BH9" s="73">
        <f t="shared" si="1"/>
        <v>2868847</v>
      </c>
      <c r="BI9" s="73">
        <f t="shared" si="1"/>
        <v>133136</v>
      </c>
      <c r="BJ9" s="73">
        <f t="shared" si="1"/>
        <v>2537910</v>
      </c>
      <c r="BK9" s="73">
        <f t="shared" si="1"/>
        <v>92326891</v>
      </c>
      <c r="BL9" s="73">
        <f t="shared" si="1"/>
        <v>2083800</v>
      </c>
      <c r="BM9" s="73">
        <f t="shared" si="1"/>
        <v>3819550</v>
      </c>
      <c r="BN9" s="73">
        <f t="shared" si="1"/>
        <v>5183680</v>
      </c>
      <c r="BO9" s="73">
        <f t="shared" si="1"/>
        <v>17059448</v>
      </c>
      <c r="BP9" s="73">
        <f t="shared" si="1"/>
        <v>1363490</v>
      </c>
      <c r="BQ9" s="73">
        <f t="shared" si="1"/>
        <v>10176367</v>
      </c>
      <c r="BR9" s="73">
        <f t="shared" si="1"/>
        <v>5796130</v>
      </c>
      <c r="BS9" s="73">
        <f t="shared" si="1"/>
        <v>233779496.5</v>
      </c>
      <c r="BT9" s="73">
        <f t="shared" si="1"/>
        <v>72915635</v>
      </c>
      <c r="BU9" s="73">
        <f t="shared" si="1"/>
        <v>10897790</v>
      </c>
      <c r="BV9" s="73">
        <f t="shared" si="1"/>
        <v>635050</v>
      </c>
      <c r="BW9" s="73">
        <f t="shared" si="1"/>
        <v>4417500</v>
      </c>
      <c r="BX9" s="129">
        <f t="shared" si="0"/>
        <v>1587200111.53</v>
      </c>
    </row>
    <row r="10" spans="1:76" x14ac:dyDescent="0.35">
      <c r="AA10" s="73" t="s">
        <v>659</v>
      </c>
      <c r="AB10" s="73" t="s">
        <v>660</v>
      </c>
      <c r="AC10" s="73" t="s">
        <v>592</v>
      </c>
      <c r="AD10" s="73" t="s">
        <v>433</v>
      </c>
      <c r="AE10" s="73" t="s">
        <v>661</v>
      </c>
      <c r="AF10" s="73" t="s">
        <v>662</v>
      </c>
      <c r="AG10" s="73" t="s">
        <v>663</v>
      </c>
      <c r="AH10" s="73" t="s">
        <v>664</v>
      </c>
      <c r="AI10" s="73" t="s">
        <v>665</v>
      </c>
      <c r="AJ10" s="73" t="s">
        <v>666</v>
      </c>
      <c r="AK10" s="73" t="s">
        <v>235</v>
      </c>
      <c r="AL10" s="73" t="s">
        <v>667</v>
      </c>
      <c r="AM10" s="73" t="s">
        <v>668</v>
      </c>
      <c r="AN10" s="73" t="s">
        <v>669</v>
      </c>
      <c r="AO10" s="73" t="s">
        <v>670</v>
      </c>
      <c r="AP10" s="73" t="s">
        <v>671</v>
      </c>
      <c r="AQ10" s="73" t="s">
        <v>673</v>
      </c>
      <c r="AR10" s="73" t="s">
        <v>674</v>
      </c>
      <c r="AS10" s="73" t="s">
        <v>675</v>
      </c>
      <c r="AT10" s="73" t="s">
        <v>434</v>
      </c>
      <c r="AU10" s="73" t="s">
        <v>676</v>
      </c>
      <c r="AV10" s="73" t="s">
        <v>219</v>
      </c>
      <c r="AW10" s="73" t="s">
        <v>418</v>
      </c>
      <c r="AX10" s="73" t="s">
        <v>677</v>
      </c>
      <c r="AY10" s="73" t="s">
        <v>678</v>
      </c>
      <c r="AZ10" s="73" t="s">
        <v>679</v>
      </c>
      <c r="BA10" s="73" t="s">
        <v>680</v>
      </c>
      <c r="BB10" s="73" t="s">
        <v>589</v>
      </c>
      <c r="BC10" s="73" t="s">
        <v>681</v>
      </c>
      <c r="BD10" s="73" t="s">
        <v>682</v>
      </c>
      <c r="BE10" s="73" t="s">
        <v>683</v>
      </c>
      <c r="BF10" s="73" t="s">
        <v>684</v>
      </c>
      <c r="BG10" s="73" t="s">
        <v>685</v>
      </c>
      <c r="BH10" s="73" t="s">
        <v>686</v>
      </c>
      <c r="BI10" s="73" t="s">
        <v>687</v>
      </c>
      <c r="BJ10" s="73" t="s">
        <v>688</v>
      </c>
      <c r="BK10" s="73" t="s">
        <v>689</v>
      </c>
      <c r="BL10" s="73" t="s">
        <v>690</v>
      </c>
      <c r="BM10" s="73" t="s">
        <v>691</v>
      </c>
      <c r="BN10" s="73" t="s">
        <v>692</v>
      </c>
      <c r="BO10" s="73" t="s">
        <v>693</v>
      </c>
      <c r="BP10" s="73" t="s">
        <v>694</v>
      </c>
      <c r="BQ10" s="73" t="s">
        <v>695</v>
      </c>
      <c r="BR10" s="73" t="s">
        <v>696</v>
      </c>
      <c r="BS10" s="73" t="s">
        <v>697</v>
      </c>
      <c r="BT10" s="73" t="s">
        <v>408</v>
      </c>
      <c r="BU10" s="73" t="s">
        <v>698</v>
      </c>
      <c r="BV10" s="73" t="s">
        <v>699</v>
      </c>
      <c r="BW10" s="73" t="s">
        <v>700</v>
      </c>
      <c r="BX10" s="129">
        <f t="shared" si="0"/>
        <v>0</v>
      </c>
    </row>
    <row r="11" spans="1:76" x14ac:dyDescent="0.35">
      <c r="A11" s="98" t="s">
        <v>738</v>
      </c>
      <c r="B11" s="99">
        <v>2019</v>
      </c>
      <c r="AA11" s="127">
        <f>AA4/$BX4</f>
        <v>2.094588838260089E-3</v>
      </c>
      <c r="AB11" s="127">
        <f t="shared" ref="AB11:BW11" si="2">AB4/$BX4</f>
        <v>1.9355114441246455E-3</v>
      </c>
      <c r="AC11" s="127">
        <f t="shared" si="2"/>
        <v>5.2833333757886909E-5</v>
      </c>
      <c r="AD11" s="127">
        <f t="shared" si="2"/>
        <v>5.1694632010641384E-3</v>
      </c>
      <c r="AE11" s="127">
        <f t="shared" si="2"/>
        <v>8.7137262604972056E-4</v>
      </c>
      <c r="AF11" s="127">
        <f t="shared" si="2"/>
        <v>6.4495914803985033E-3</v>
      </c>
      <c r="AG11" s="127">
        <f t="shared" si="2"/>
        <v>1.1846516523766651E-2</v>
      </c>
      <c r="AH11" s="127">
        <f t="shared" si="2"/>
        <v>2.6293716163669743E-2</v>
      </c>
      <c r="AI11" s="127">
        <f t="shared" si="2"/>
        <v>5.4237190912025043E-3</v>
      </c>
      <c r="AJ11" s="127">
        <f t="shared" si="2"/>
        <v>3.773809554134779E-4</v>
      </c>
      <c r="AK11" s="127">
        <f t="shared" si="2"/>
        <v>4.9819795876528121E-2</v>
      </c>
      <c r="AL11" s="127">
        <f t="shared" si="2"/>
        <v>1.4498787616508114E-2</v>
      </c>
      <c r="AM11" s="127">
        <f t="shared" si="2"/>
        <v>8.0474601837147094E-3</v>
      </c>
      <c r="AN11" s="127">
        <f t="shared" si="2"/>
        <v>3.6806643867196245E-2</v>
      </c>
      <c r="AO11" s="127">
        <f t="shared" si="2"/>
        <v>0</v>
      </c>
      <c r="AP11" s="127">
        <f t="shared" si="2"/>
        <v>1.4431123211202478E-2</v>
      </c>
      <c r="AQ11" s="127">
        <f t="shared" si="2"/>
        <v>4.962458425591184E-2</v>
      </c>
      <c r="AR11" s="127">
        <f t="shared" si="2"/>
        <v>4.3747252501540428E-2</v>
      </c>
      <c r="AS11" s="127">
        <f t="shared" si="2"/>
        <v>0.12043853931304778</v>
      </c>
      <c r="AT11" s="127">
        <f t="shared" si="2"/>
        <v>4.6636183719993146E-2</v>
      </c>
      <c r="AU11" s="127">
        <f t="shared" si="2"/>
        <v>1.7284047757937289E-4</v>
      </c>
      <c r="AV11" s="127">
        <f t="shared" si="2"/>
        <v>3.7644339016784864E-2</v>
      </c>
      <c r="AW11" s="127">
        <f t="shared" si="2"/>
        <v>3.9357610816266514E-2</v>
      </c>
      <c r="AX11" s="127">
        <f t="shared" si="2"/>
        <v>4.1511905095482568E-4</v>
      </c>
      <c r="AY11" s="127">
        <f t="shared" si="2"/>
        <v>7.8306548248296666E-4</v>
      </c>
      <c r="AZ11" s="127">
        <f t="shared" si="2"/>
        <v>5.1323809936232994E-5</v>
      </c>
      <c r="BA11" s="127">
        <f t="shared" si="2"/>
        <v>9.8119048407504256E-5</v>
      </c>
      <c r="BB11" s="127">
        <f t="shared" si="2"/>
        <v>1.1038392945844229E-3</v>
      </c>
      <c r="BC11" s="127">
        <f t="shared" si="2"/>
        <v>9.5444734493157088E-2</v>
      </c>
      <c r="BD11" s="127">
        <f t="shared" si="2"/>
        <v>1.3058475462077035E-2</v>
      </c>
      <c r="BE11" s="127">
        <f t="shared" si="2"/>
        <v>7.1174048190981933E-4</v>
      </c>
      <c r="BF11" s="127">
        <f t="shared" si="2"/>
        <v>1.7902707227194375E-2</v>
      </c>
      <c r="BG11" s="127">
        <f t="shared" si="2"/>
        <v>7.9816072069950584E-4</v>
      </c>
      <c r="BH11" s="127">
        <f t="shared" si="2"/>
        <v>5.019015754617091E-3</v>
      </c>
      <c r="BI11" s="127">
        <f t="shared" si="2"/>
        <v>9.4345238853369475E-5</v>
      </c>
      <c r="BJ11" s="127">
        <f t="shared" si="2"/>
        <v>7.426857202537245E-3</v>
      </c>
      <c r="BK11" s="127">
        <f t="shared" si="2"/>
        <v>7.8657735191594899E-2</v>
      </c>
      <c r="BL11" s="127">
        <f t="shared" si="2"/>
        <v>0</v>
      </c>
      <c r="BM11" s="127">
        <f t="shared" si="2"/>
        <v>1.8114285859846939E-4</v>
      </c>
      <c r="BN11" s="127">
        <f t="shared" si="2"/>
        <v>6.604166719735863E-4</v>
      </c>
      <c r="BO11" s="127">
        <f t="shared" si="2"/>
        <v>2.6145360162477597E-2</v>
      </c>
      <c r="BP11" s="127">
        <f t="shared" si="2"/>
        <v>3.8892881264913036E-4</v>
      </c>
      <c r="BQ11" s="127">
        <f t="shared" si="2"/>
        <v>1.0894750432785196E-2</v>
      </c>
      <c r="BR11" s="127">
        <f t="shared" si="2"/>
        <v>1.5913324651684454E-3</v>
      </c>
      <c r="BS11" s="127">
        <f t="shared" si="2"/>
        <v>0.10291937567226879</v>
      </c>
      <c r="BT11" s="127">
        <f t="shared" si="2"/>
        <v>0.10606992548329999</v>
      </c>
      <c r="BU11" s="127">
        <f t="shared" si="2"/>
        <v>7.5495060130466255E-3</v>
      </c>
      <c r="BV11" s="127">
        <f t="shared" si="2"/>
        <v>1.8095416812076266E-4</v>
      </c>
      <c r="BW11" s="127">
        <f t="shared" si="2"/>
        <v>1.1321428662404338E-4</v>
      </c>
    </row>
    <row r="12" spans="1:76" x14ac:dyDescent="0.35">
      <c r="A12" s="98" t="s">
        <v>738</v>
      </c>
      <c r="B12" s="99">
        <v>2020</v>
      </c>
      <c r="AA12" s="127">
        <f t="shared" ref="AA12:BW12" si="3">AA5/$BX5</f>
        <v>9.7336257823204511E-4</v>
      </c>
      <c r="AB12" s="127">
        <f t="shared" si="3"/>
        <v>2.3681878919108823E-3</v>
      </c>
      <c r="AC12" s="127">
        <f t="shared" si="3"/>
        <v>3.7198215578932098E-5</v>
      </c>
      <c r="AD12" s="127">
        <f t="shared" si="3"/>
        <v>1.6293478952633942E-3</v>
      </c>
      <c r="AE12" s="127">
        <f t="shared" si="3"/>
        <v>0</v>
      </c>
      <c r="AF12" s="127">
        <f t="shared" si="3"/>
        <v>2.1108961782763988E-2</v>
      </c>
      <c r="AG12" s="127">
        <f t="shared" si="3"/>
        <v>1.1195202772385371E-2</v>
      </c>
      <c r="AH12" s="127">
        <f t="shared" si="3"/>
        <v>2.092634287955265E-2</v>
      </c>
      <c r="AI12" s="127">
        <f t="shared" si="3"/>
        <v>2.6070039123963721E-3</v>
      </c>
      <c r="AJ12" s="127">
        <f t="shared" si="3"/>
        <v>0</v>
      </c>
      <c r="AK12" s="127">
        <f t="shared" si="3"/>
        <v>0.13664658808270838</v>
      </c>
      <c r="AL12" s="127">
        <f t="shared" si="3"/>
        <v>1.2786973516976552E-2</v>
      </c>
      <c r="AM12" s="127">
        <f t="shared" si="3"/>
        <v>4.4745629225835049E-3</v>
      </c>
      <c r="AN12" s="127">
        <f t="shared" si="3"/>
        <v>0.10042460664519226</v>
      </c>
      <c r="AO12" s="127">
        <f t="shared" si="3"/>
        <v>1.8964137007763981E-4</v>
      </c>
      <c r="AP12" s="127">
        <f t="shared" si="3"/>
        <v>8.0477991758145032E-3</v>
      </c>
      <c r="AQ12" s="127">
        <f t="shared" si="3"/>
        <v>0.11716398443208649</v>
      </c>
      <c r="AR12" s="127">
        <f t="shared" si="3"/>
        <v>2.2597046847014827E-5</v>
      </c>
      <c r="AS12" s="127">
        <f t="shared" si="3"/>
        <v>9.644176797728729E-2</v>
      </c>
      <c r="AT12" s="127">
        <f t="shared" si="3"/>
        <v>1.7532259490193533E-2</v>
      </c>
      <c r="AU12" s="127">
        <f t="shared" si="3"/>
        <v>4.6202269630281085E-4</v>
      </c>
      <c r="AV12" s="127">
        <f t="shared" si="3"/>
        <v>6.711580172250585E-2</v>
      </c>
      <c r="AW12" s="127">
        <f t="shared" si="3"/>
        <v>3.6011814995963891E-2</v>
      </c>
      <c r="AX12" s="127">
        <f t="shared" si="3"/>
        <v>4.5194093694029652E-4</v>
      </c>
      <c r="AY12" s="127">
        <f t="shared" si="3"/>
        <v>9.6222744883958536E-4</v>
      </c>
      <c r="AZ12" s="127">
        <f t="shared" si="3"/>
        <v>1.1472346860792143E-5</v>
      </c>
      <c r="BA12" s="127">
        <f t="shared" si="3"/>
        <v>1.5348609512241609E-3</v>
      </c>
      <c r="BB12" s="127">
        <f t="shared" si="3"/>
        <v>1.4044933732606138E-3</v>
      </c>
      <c r="BC12" s="127">
        <f t="shared" si="3"/>
        <v>5.7758920858156319E-3</v>
      </c>
      <c r="BD12" s="127">
        <f t="shared" si="3"/>
        <v>1.6796590033042118E-2</v>
      </c>
      <c r="BE12" s="127">
        <f t="shared" si="3"/>
        <v>2.0858812474167533E-5</v>
      </c>
      <c r="BF12" s="127">
        <f t="shared" si="3"/>
        <v>2.3906344076612084E-2</v>
      </c>
      <c r="BG12" s="127">
        <f t="shared" si="3"/>
        <v>1.7498249196454402E-3</v>
      </c>
      <c r="BH12" s="127">
        <f t="shared" si="3"/>
        <v>2.4323356932064387E-3</v>
      </c>
      <c r="BI12" s="127">
        <f t="shared" si="3"/>
        <v>3.4566528738441296E-5</v>
      </c>
      <c r="BJ12" s="127">
        <f t="shared" si="3"/>
        <v>1.5091350825060209E-3</v>
      </c>
      <c r="BK12" s="127">
        <f t="shared" si="3"/>
        <v>7.9110498441744836E-2</v>
      </c>
      <c r="BL12" s="127">
        <f t="shared" si="3"/>
        <v>6.9598904288805665E-4</v>
      </c>
      <c r="BM12" s="127">
        <f t="shared" si="3"/>
        <v>8.4825837394947968E-5</v>
      </c>
      <c r="BN12" s="127">
        <f t="shared" si="3"/>
        <v>2.9775259513125014E-3</v>
      </c>
      <c r="BO12" s="127">
        <f t="shared" si="3"/>
        <v>1.3543974586351547E-2</v>
      </c>
      <c r="BP12" s="127">
        <f t="shared" si="3"/>
        <v>3.4799452144402833E-4</v>
      </c>
      <c r="BQ12" s="127">
        <f t="shared" si="3"/>
        <v>1.0501403904807102E-2</v>
      </c>
      <c r="BR12" s="127">
        <f t="shared" si="3"/>
        <v>1.9701148381851235E-4</v>
      </c>
      <c r="BS12" s="127">
        <f t="shared" si="3"/>
        <v>0.12017976892194536</v>
      </c>
      <c r="BT12" s="127">
        <f t="shared" si="3"/>
        <v>4.8184249656295267E-2</v>
      </c>
      <c r="BU12" s="127">
        <f t="shared" si="3"/>
        <v>6.5566200543799944E-3</v>
      </c>
      <c r="BV12" s="127">
        <f t="shared" si="3"/>
        <v>6.4905671482117975E-4</v>
      </c>
      <c r="BW12" s="127">
        <f t="shared" si="3"/>
        <v>2.2145105910074529E-3</v>
      </c>
    </row>
    <row r="13" spans="1:76" x14ac:dyDescent="0.35">
      <c r="A13" s="98" t="s">
        <v>738</v>
      </c>
      <c r="B13" s="99">
        <v>2021</v>
      </c>
      <c r="AA13" s="127">
        <f t="shared" ref="AA13:BW13" si="4">AA6/$BX6</f>
        <v>1.5304565285788167E-3</v>
      </c>
      <c r="AB13" s="127">
        <f t="shared" si="4"/>
        <v>3.7581474366801256E-4</v>
      </c>
      <c r="AC13" s="127">
        <f t="shared" si="4"/>
        <v>3.5317211990582594E-5</v>
      </c>
      <c r="AD13" s="127">
        <f t="shared" si="4"/>
        <v>9.7240612627530407E-3</v>
      </c>
      <c r="AE13" s="127">
        <f t="shared" si="4"/>
        <v>0</v>
      </c>
      <c r="AF13" s="127">
        <f t="shared" si="4"/>
        <v>2.0182027393366459E-2</v>
      </c>
      <c r="AG13" s="127">
        <f t="shared" si="4"/>
        <v>1.3255770909452238E-2</v>
      </c>
      <c r="AH13" s="127">
        <f t="shared" si="4"/>
        <v>3.4513943458237911E-2</v>
      </c>
      <c r="AI13" s="127">
        <f t="shared" si="4"/>
        <v>4.9122281070079019E-3</v>
      </c>
      <c r="AJ13" s="127">
        <f t="shared" si="4"/>
        <v>2.8880897655850251E-4</v>
      </c>
      <c r="AK13" s="127">
        <f t="shared" si="4"/>
        <v>1.785935298905459E-2</v>
      </c>
      <c r="AL13" s="127">
        <f t="shared" si="4"/>
        <v>6.120835912109923E-3</v>
      </c>
      <c r="AM13" s="127">
        <f t="shared" si="4"/>
        <v>3.719430530451197E-3</v>
      </c>
      <c r="AN13" s="127">
        <f t="shared" si="4"/>
        <v>4.6790694845919058E-2</v>
      </c>
      <c r="AO13" s="127">
        <f t="shared" si="4"/>
        <v>1.8034882833321804E-3</v>
      </c>
      <c r="AP13" s="127">
        <f t="shared" si="4"/>
        <v>4.5902770626365545E-2</v>
      </c>
      <c r="AQ13" s="127">
        <f t="shared" si="4"/>
        <v>0.23751966766809557</v>
      </c>
      <c r="AR13" s="127">
        <f t="shared" si="4"/>
        <v>5.5044779480458647E-3</v>
      </c>
      <c r="AS13" s="127">
        <f t="shared" si="4"/>
        <v>0.11576669846750889</v>
      </c>
      <c r="AT13" s="127">
        <f t="shared" si="4"/>
        <v>3.9948057637572074E-3</v>
      </c>
      <c r="AU13" s="127">
        <f t="shared" si="4"/>
        <v>4.4030991397604844E-4</v>
      </c>
      <c r="AV13" s="127">
        <f t="shared" si="4"/>
        <v>3.2002173439445621E-2</v>
      </c>
      <c r="AW13" s="127">
        <f t="shared" si="4"/>
        <v>3.9923038528517059E-3</v>
      </c>
      <c r="AX13" s="127">
        <f t="shared" si="4"/>
        <v>6.106246932951196E-4</v>
      </c>
      <c r="AY13" s="127">
        <f t="shared" si="4"/>
        <v>7.2020707068645999E-4</v>
      </c>
      <c r="AZ13" s="127">
        <f t="shared" si="4"/>
        <v>8.5685497502385443E-5</v>
      </c>
      <c r="BA13" s="127">
        <f t="shared" si="4"/>
        <v>1.6602390309591631E-4</v>
      </c>
      <c r="BB13" s="127">
        <f t="shared" si="4"/>
        <v>3.1443474949798714E-3</v>
      </c>
      <c r="BC13" s="127">
        <f t="shared" si="4"/>
        <v>6.0047347035334049E-2</v>
      </c>
      <c r="BD13" s="127">
        <f t="shared" si="4"/>
        <v>1.3044725812753373E-2</v>
      </c>
      <c r="BE13" s="127">
        <f t="shared" si="4"/>
        <v>1.6074282466741797E-4</v>
      </c>
      <c r="BF13" s="127">
        <f t="shared" si="4"/>
        <v>1.5498014126223935E-2</v>
      </c>
      <c r="BG13" s="127">
        <f t="shared" si="4"/>
        <v>1.1537109948377812E-3</v>
      </c>
      <c r="BH13" s="127">
        <f t="shared" si="4"/>
        <v>4.2248627427986658E-4</v>
      </c>
      <c r="BI13" s="127">
        <f t="shared" si="4"/>
        <v>1.2078816568181029E-4</v>
      </c>
      <c r="BJ13" s="127">
        <f t="shared" si="4"/>
        <v>3.9875442809180216E-4</v>
      </c>
      <c r="BK13" s="127">
        <f t="shared" si="4"/>
        <v>5.9563897311945203E-2</v>
      </c>
      <c r="BL13" s="127">
        <f t="shared" si="4"/>
        <v>6.8462580477445249E-4</v>
      </c>
      <c r="BM13" s="127">
        <f t="shared" si="4"/>
        <v>2.5707299587724537E-3</v>
      </c>
      <c r="BN13" s="127">
        <f t="shared" si="4"/>
        <v>8.8235268181144789E-3</v>
      </c>
      <c r="BO13" s="127">
        <f t="shared" si="4"/>
        <v>1.5511319506263875E-2</v>
      </c>
      <c r="BP13" s="127">
        <f t="shared" si="4"/>
        <v>2.4590021432695361E-4</v>
      </c>
      <c r="BQ13" s="127">
        <f t="shared" si="4"/>
        <v>9.1255384907442273E-3</v>
      </c>
      <c r="BR13" s="127">
        <f t="shared" si="4"/>
        <v>1.9827148824993427E-3</v>
      </c>
      <c r="BS13" s="127">
        <f t="shared" si="4"/>
        <v>0.1658805053132125</v>
      </c>
      <c r="BT13" s="127">
        <f t="shared" si="4"/>
        <v>2.6137222280566533E-2</v>
      </c>
      <c r="BU13" s="127">
        <f t="shared" si="4"/>
        <v>4.390853639154404E-3</v>
      </c>
      <c r="BV13" s="127">
        <f t="shared" si="4"/>
        <v>2.8055729151397387E-5</v>
      </c>
      <c r="BW13" s="127">
        <f t="shared" si="4"/>
        <v>3.2462128965175686E-3</v>
      </c>
    </row>
    <row r="14" spans="1:76" x14ac:dyDescent="0.35">
      <c r="A14" s="98" t="s">
        <v>738</v>
      </c>
      <c r="B14" s="99">
        <v>2022</v>
      </c>
      <c r="AA14" s="127">
        <f t="shared" ref="AA14:BW14" si="5">AA7/$BX7</f>
        <v>4.0975140957928676E-3</v>
      </c>
      <c r="AB14" s="127">
        <f t="shared" si="5"/>
        <v>2.1876370733980551E-4</v>
      </c>
      <c r="AC14" s="127">
        <f t="shared" si="5"/>
        <v>2.206020578216526E-5</v>
      </c>
      <c r="AD14" s="127">
        <f t="shared" si="5"/>
        <v>7.8695776523824146E-3</v>
      </c>
      <c r="AE14" s="127">
        <f t="shared" si="5"/>
        <v>3.9156865263343337E-4</v>
      </c>
      <c r="AF14" s="127">
        <f t="shared" si="5"/>
        <v>1.3822152835902378E-2</v>
      </c>
      <c r="AG14" s="127">
        <f t="shared" si="5"/>
        <v>1.3051847216998803E-2</v>
      </c>
      <c r="AH14" s="127">
        <f t="shared" si="5"/>
        <v>2.4606468267562048E-2</v>
      </c>
      <c r="AI14" s="127">
        <f t="shared" si="5"/>
        <v>5.3569533041024639E-3</v>
      </c>
      <c r="AJ14" s="127">
        <f t="shared" si="5"/>
        <v>2.1508700637611129E-4</v>
      </c>
      <c r="AK14" s="127">
        <f t="shared" si="5"/>
        <v>2.0462568912411216E-2</v>
      </c>
      <c r="AL14" s="127">
        <f t="shared" si="5"/>
        <v>6.3294407089995825E-3</v>
      </c>
      <c r="AM14" s="127">
        <f t="shared" si="5"/>
        <v>1.4357517263225892E-4</v>
      </c>
      <c r="AN14" s="127">
        <f t="shared" si="5"/>
        <v>0.13825424364419872</v>
      </c>
      <c r="AO14" s="127">
        <f t="shared" si="5"/>
        <v>1.8502262259598374E-3</v>
      </c>
      <c r="AP14" s="127">
        <f t="shared" si="5"/>
        <v>2.911542726139808E-2</v>
      </c>
      <c r="AQ14" s="127">
        <f t="shared" si="5"/>
        <v>0.18811307726771787</v>
      </c>
      <c r="AR14" s="127">
        <f t="shared" si="5"/>
        <v>8.5425095229635113E-3</v>
      </c>
      <c r="AS14" s="127">
        <f t="shared" si="5"/>
        <v>0</v>
      </c>
      <c r="AT14" s="127">
        <f t="shared" si="5"/>
        <v>7.9239523829344877E-4</v>
      </c>
      <c r="AU14" s="127">
        <f t="shared" si="5"/>
        <v>1.103010289108263E-5</v>
      </c>
      <c r="AV14" s="127">
        <f t="shared" si="5"/>
        <v>5.0320270624565663E-2</v>
      </c>
      <c r="AW14" s="127">
        <f t="shared" si="5"/>
        <v>3.0284265204560325E-2</v>
      </c>
      <c r="AX14" s="127">
        <f t="shared" si="5"/>
        <v>1.0812221591974111E-3</v>
      </c>
      <c r="AY14" s="127">
        <f t="shared" si="5"/>
        <v>4.007604050426689E-4</v>
      </c>
      <c r="AZ14" s="127">
        <f t="shared" si="5"/>
        <v>1.6545154336623947E-5</v>
      </c>
      <c r="BA14" s="127">
        <f t="shared" si="5"/>
        <v>2.8314274121409113E-3</v>
      </c>
      <c r="BB14" s="127">
        <f t="shared" si="5"/>
        <v>1.7332174127807444E-2</v>
      </c>
      <c r="BC14" s="127">
        <f t="shared" si="5"/>
        <v>6.4708072873629507E-2</v>
      </c>
      <c r="BD14" s="127">
        <f t="shared" si="5"/>
        <v>8.5678714062110729E-3</v>
      </c>
      <c r="BE14" s="127">
        <f t="shared" si="5"/>
        <v>3.6767009636942098E-5</v>
      </c>
      <c r="BF14" s="127">
        <f t="shared" si="5"/>
        <v>1.5259724529201995E-2</v>
      </c>
      <c r="BG14" s="127">
        <f t="shared" si="5"/>
        <v>0</v>
      </c>
      <c r="BH14" s="127">
        <f t="shared" si="5"/>
        <v>1.1452923501907464E-3</v>
      </c>
      <c r="BI14" s="127">
        <f t="shared" si="5"/>
        <v>2.2647742596163597E-4</v>
      </c>
      <c r="BJ14" s="127">
        <f t="shared" si="5"/>
        <v>5.5150514455413151E-5</v>
      </c>
      <c r="BK14" s="127">
        <f t="shared" si="5"/>
        <v>5.5021671823542416E-2</v>
      </c>
      <c r="BL14" s="127">
        <f t="shared" si="5"/>
        <v>1.5816432205619753E-3</v>
      </c>
      <c r="BM14" s="127">
        <f t="shared" si="5"/>
        <v>5.0271532276590933E-3</v>
      </c>
      <c r="BN14" s="127">
        <f t="shared" si="5"/>
        <v>5.0391025057911001E-3</v>
      </c>
      <c r="BO14" s="127">
        <f t="shared" si="5"/>
        <v>5.2613590790464146E-3</v>
      </c>
      <c r="BP14" s="127">
        <f t="shared" si="5"/>
        <v>7.2703084856089314E-4</v>
      </c>
      <c r="BQ14" s="127">
        <f t="shared" si="5"/>
        <v>5.5296479483671812E-3</v>
      </c>
      <c r="BR14" s="127">
        <f t="shared" si="5"/>
        <v>8.6386295162573686E-3</v>
      </c>
      <c r="BS14" s="127">
        <f t="shared" si="5"/>
        <v>0.1973595978145086</v>
      </c>
      <c r="BT14" s="127">
        <f t="shared" si="5"/>
        <v>4.5951713810430228E-2</v>
      </c>
      <c r="BU14" s="127">
        <f t="shared" si="5"/>
        <v>8.8093755090113274E-3</v>
      </c>
      <c r="BV14" s="127">
        <f t="shared" si="5"/>
        <v>8.9527668465954019E-4</v>
      </c>
      <c r="BW14" s="127">
        <f t="shared" si="5"/>
        <v>4.625289812327316E-3</v>
      </c>
    </row>
    <row r="15" spans="1:76" x14ac:dyDescent="0.35">
      <c r="A15" s="98" t="s">
        <v>738</v>
      </c>
      <c r="B15" s="99">
        <v>2023</v>
      </c>
      <c r="AA15" s="127">
        <f t="shared" ref="AA15:BW15" si="6">AA8/$BX8</f>
        <v>3.5144336656397364E-3</v>
      </c>
      <c r="AB15" s="127">
        <f t="shared" si="6"/>
        <v>2.6630909271103704E-4</v>
      </c>
      <c r="AC15" s="127">
        <f t="shared" si="6"/>
        <v>5.9723730350636987E-5</v>
      </c>
      <c r="AD15" s="127">
        <f t="shared" si="6"/>
        <v>8.7587298253075964E-3</v>
      </c>
      <c r="AE15" s="127">
        <f t="shared" si="6"/>
        <v>6.5271836448783591E-6</v>
      </c>
      <c r="AF15" s="127">
        <f t="shared" si="6"/>
        <v>5.2497267764603991E-3</v>
      </c>
      <c r="AG15" s="127">
        <f t="shared" si="6"/>
        <v>4.5860993123740899E-3</v>
      </c>
      <c r="AH15" s="127">
        <f t="shared" si="6"/>
        <v>1.9270530633956624E-2</v>
      </c>
      <c r="AI15" s="127">
        <f t="shared" si="6"/>
        <v>2.7975509101948646E-3</v>
      </c>
      <c r="AJ15" s="127">
        <f t="shared" si="6"/>
        <v>7.9403189039945236E-4</v>
      </c>
      <c r="AK15" s="127">
        <f t="shared" si="6"/>
        <v>0</v>
      </c>
      <c r="AL15" s="127">
        <f t="shared" si="6"/>
        <v>3.2042597231072352E-3</v>
      </c>
      <c r="AM15" s="127">
        <f t="shared" si="6"/>
        <v>6.9903961108765597E-5</v>
      </c>
      <c r="AN15" s="127">
        <f t="shared" si="6"/>
        <v>6.7524878820683296E-2</v>
      </c>
      <c r="AO15" s="127">
        <f t="shared" si="6"/>
        <v>0</v>
      </c>
      <c r="AP15" s="127">
        <f t="shared" si="6"/>
        <v>3.4907378132809463E-3</v>
      </c>
      <c r="AQ15" s="127">
        <f t="shared" si="6"/>
        <v>0.14650178180472273</v>
      </c>
      <c r="AR15" s="127">
        <f t="shared" si="6"/>
        <v>4.0337994925348261E-5</v>
      </c>
      <c r="AS15" s="127">
        <f t="shared" si="6"/>
        <v>0.43494116560288121</v>
      </c>
      <c r="AT15" s="127">
        <f t="shared" si="6"/>
        <v>2.2324706472061407E-2</v>
      </c>
      <c r="AU15" s="127">
        <f t="shared" si="6"/>
        <v>0</v>
      </c>
      <c r="AV15" s="127">
        <f t="shared" si="6"/>
        <v>2.0673929510802512E-2</v>
      </c>
      <c r="AW15" s="127">
        <f t="shared" si="6"/>
        <v>4.1320879995872858E-3</v>
      </c>
      <c r="AX15" s="127">
        <f t="shared" si="6"/>
        <v>5.4393197040652997E-4</v>
      </c>
      <c r="AY15" s="127">
        <f t="shared" si="6"/>
        <v>0</v>
      </c>
      <c r="AZ15" s="127">
        <f t="shared" si="6"/>
        <v>0</v>
      </c>
      <c r="BA15" s="127">
        <f t="shared" si="6"/>
        <v>1.4834112696926883E-3</v>
      </c>
      <c r="BB15" s="127">
        <f t="shared" si="6"/>
        <v>1.1610091707761993E-2</v>
      </c>
      <c r="BC15" s="127">
        <f t="shared" si="6"/>
        <v>0</v>
      </c>
      <c r="BD15" s="127">
        <f t="shared" si="6"/>
        <v>4.2411420081980315E-3</v>
      </c>
      <c r="BE15" s="127">
        <f t="shared" si="6"/>
        <v>0</v>
      </c>
      <c r="BF15" s="127">
        <f t="shared" si="6"/>
        <v>3.4829317150299691E-3</v>
      </c>
      <c r="BG15" s="127">
        <f t="shared" si="6"/>
        <v>0</v>
      </c>
      <c r="BH15" s="127">
        <f t="shared" si="6"/>
        <v>8.697037061224088E-4</v>
      </c>
      <c r="BI15" s="127">
        <f t="shared" si="6"/>
        <v>0</v>
      </c>
      <c r="BJ15" s="127">
        <f t="shared" si="6"/>
        <v>0</v>
      </c>
      <c r="BK15" s="127">
        <f t="shared" si="6"/>
        <v>3.4195701894185325E-2</v>
      </c>
      <c r="BL15" s="127">
        <f t="shared" si="6"/>
        <v>2.7109569405061452E-3</v>
      </c>
      <c r="BM15" s="127">
        <f t="shared" si="6"/>
        <v>3.4833403384834176E-3</v>
      </c>
      <c r="BN15" s="127">
        <f t="shared" si="6"/>
        <v>2.3584890236827137E-4</v>
      </c>
      <c r="BO15" s="127">
        <f t="shared" si="6"/>
        <v>2.2845142757074258E-4</v>
      </c>
      <c r="BP15" s="127">
        <f t="shared" si="6"/>
        <v>1.9322421743933407E-3</v>
      </c>
      <c r="BQ15" s="127">
        <f t="shared" si="6"/>
        <v>0</v>
      </c>
      <c r="BR15" s="127">
        <f t="shared" si="6"/>
        <v>5.1510836257632345E-3</v>
      </c>
      <c r="BS15" s="127">
        <f t="shared" si="6"/>
        <v>0.14795599811335039</v>
      </c>
      <c r="BT15" s="127">
        <f t="shared" si="6"/>
        <v>2.2914393999818535E-2</v>
      </c>
      <c r="BU15" s="127">
        <f t="shared" si="6"/>
        <v>7.1472660911418035E-3</v>
      </c>
      <c r="BV15" s="127">
        <f t="shared" si="6"/>
        <v>3.2287801763331616E-4</v>
      </c>
      <c r="BW15" s="127">
        <f t="shared" si="6"/>
        <v>3.2831733733738148E-3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5"/>
  <sheetViews>
    <sheetView workbookViewId="0">
      <selection activeCell="AA11" sqref="AA11:BD15"/>
    </sheetView>
  </sheetViews>
  <sheetFormatPr defaultRowHeight="14.5" x14ac:dyDescent="0.35"/>
  <cols>
    <col min="2" max="2" width="8.81640625" bestFit="1" customWidth="1"/>
    <col min="3" max="3" width="12.81640625" hidden="1" customWidth="1"/>
    <col min="4" max="4" width="11.54296875" hidden="1" customWidth="1"/>
    <col min="5" max="22" width="8.81640625" hidden="1" customWidth="1"/>
    <col min="23" max="23" width="10.6328125" hidden="1" customWidth="1"/>
    <col min="24" max="24" width="8.81640625" hidden="1" customWidth="1"/>
    <col min="25" max="25" width="11.81640625" hidden="1" customWidth="1"/>
    <col min="26" max="26" width="14.81640625" hidden="1" customWidth="1"/>
    <col min="27" max="27" width="34.36328125" bestFit="1" customWidth="1"/>
    <col min="28" max="28" width="14.08984375" customWidth="1"/>
    <col min="29" max="32" width="9.1796875" bestFit="1" customWidth="1"/>
    <col min="33" max="33" width="10.08984375" bestFit="1" customWidth="1"/>
    <col min="34" max="34" width="9.1796875" bestFit="1" customWidth="1"/>
    <col min="35" max="35" width="10.08984375" bestFit="1" customWidth="1"/>
    <col min="36" max="38" width="9.1796875" bestFit="1" customWidth="1"/>
    <col min="39" max="41" width="11" bestFit="1" customWidth="1"/>
    <col min="42" max="42" width="9.1796875" bestFit="1" customWidth="1"/>
    <col min="43" max="44" width="10.08984375" bestFit="1" customWidth="1"/>
    <col min="45" max="45" width="11" bestFit="1" customWidth="1"/>
    <col min="46" max="48" width="10.08984375" bestFit="1" customWidth="1"/>
    <col min="49" max="50" width="11" bestFit="1" customWidth="1"/>
    <col min="51" max="54" width="10.08984375" bestFit="1" customWidth="1"/>
    <col min="55" max="56" width="9.1796875" bestFit="1" customWidth="1"/>
    <col min="57" max="57" width="10" bestFit="1" customWidth="1"/>
  </cols>
  <sheetData>
    <row r="1" spans="1:57" s="108" customFormat="1" ht="12" x14ac:dyDescent="0.3">
      <c r="A1" s="101" t="s">
        <v>22</v>
      </c>
      <c r="B1" s="102" t="s">
        <v>23</v>
      </c>
      <c r="C1" s="102" t="s">
        <v>24</v>
      </c>
      <c r="D1" s="103" t="s">
        <v>25</v>
      </c>
      <c r="E1" s="102" t="s">
        <v>26</v>
      </c>
      <c r="F1" s="104" t="s">
        <v>27</v>
      </c>
      <c r="G1" s="104" t="s">
        <v>28</v>
      </c>
      <c r="H1" s="104" t="s">
        <v>29</v>
      </c>
      <c r="I1" s="104" t="s">
        <v>30</v>
      </c>
      <c r="J1" s="104" t="s">
        <v>31</v>
      </c>
      <c r="K1" s="104" t="s">
        <v>32</v>
      </c>
      <c r="L1" s="102" t="s">
        <v>33</v>
      </c>
      <c r="M1" s="102" t="s">
        <v>34</v>
      </c>
      <c r="N1" s="102" t="s">
        <v>35</v>
      </c>
      <c r="O1" s="102" t="s">
        <v>36</v>
      </c>
      <c r="P1" s="102" t="s">
        <v>37</v>
      </c>
      <c r="Q1" s="102" t="s">
        <v>38</v>
      </c>
      <c r="R1" s="102" t="s">
        <v>39</v>
      </c>
      <c r="S1" s="102" t="s">
        <v>40</v>
      </c>
      <c r="T1" s="102" t="s">
        <v>41</v>
      </c>
      <c r="U1" s="102" t="s">
        <v>42</v>
      </c>
      <c r="V1" s="101" t="s">
        <v>43</v>
      </c>
      <c r="W1" s="105" t="s">
        <v>44</v>
      </c>
      <c r="X1" s="106" t="s">
        <v>45</v>
      </c>
      <c r="Y1" s="106" t="s">
        <v>46</v>
      </c>
      <c r="Z1" s="106" t="s">
        <v>47</v>
      </c>
      <c r="AA1" s="107" t="s">
        <v>747</v>
      </c>
      <c r="AB1" s="107" t="s">
        <v>748</v>
      </c>
      <c r="AC1" s="107" t="s">
        <v>749</v>
      </c>
      <c r="AD1" s="107" t="s">
        <v>750</v>
      </c>
      <c r="AE1" s="107" t="s">
        <v>751</v>
      </c>
      <c r="AF1" s="107" t="s">
        <v>752</v>
      </c>
      <c r="AG1" s="107" t="s">
        <v>490</v>
      </c>
      <c r="AH1" s="107" t="s">
        <v>753</v>
      </c>
      <c r="AI1" s="107" t="s">
        <v>754</v>
      </c>
      <c r="AJ1" s="107" t="s">
        <v>755</v>
      </c>
      <c r="AK1" s="107" t="s">
        <v>756</v>
      </c>
      <c r="AL1" s="107" t="s">
        <v>757</v>
      </c>
      <c r="AM1" s="107" t="s">
        <v>758</v>
      </c>
      <c r="AN1" s="107" t="s">
        <v>759</v>
      </c>
      <c r="AO1" s="107" t="s">
        <v>760</v>
      </c>
      <c r="AP1" s="107" t="s">
        <v>761</v>
      </c>
      <c r="AQ1" s="107" t="s">
        <v>762</v>
      </c>
      <c r="AR1" s="107" t="s">
        <v>763</v>
      </c>
      <c r="AS1" s="107" t="s">
        <v>520</v>
      </c>
      <c r="AT1" s="107" t="s">
        <v>764</v>
      </c>
      <c r="AU1" s="107" t="s">
        <v>765</v>
      </c>
      <c r="AV1" s="107" t="s">
        <v>766</v>
      </c>
      <c r="AW1" s="107" t="s">
        <v>767</v>
      </c>
      <c r="AX1" s="107" t="s">
        <v>768</v>
      </c>
      <c r="AY1" s="107" t="s">
        <v>769</v>
      </c>
      <c r="AZ1" s="107" t="s">
        <v>770</v>
      </c>
      <c r="BA1" s="107" t="s">
        <v>771</v>
      </c>
      <c r="BB1" s="107" t="s">
        <v>772</v>
      </c>
      <c r="BC1" s="107" t="s">
        <v>773</v>
      </c>
      <c r="BD1" s="107" t="s">
        <v>774</v>
      </c>
    </row>
    <row r="2" spans="1:57" s="108" customFormat="1" ht="12" x14ac:dyDescent="0.3">
      <c r="A2" s="109" t="s">
        <v>722</v>
      </c>
      <c r="B2" s="110">
        <v>2017</v>
      </c>
      <c r="C2" s="111">
        <v>319282234</v>
      </c>
      <c r="D2" s="112">
        <v>20902.643390570502</v>
      </c>
      <c r="E2" s="112">
        <v>709.75359131441314</v>
      </c>
      <c r="F2" s="112">
        <v>4760.720515943196</v>
      </c>
      <c r="G2" s="112">
        <v>224.6690622617011</v>
      </c>
      <c r="H2" s="112">
        <v>670.37605988945052</v>
      </c>
      <c r="I2" s="112">
        <v>3155.6829965408006</v>
      </c>
      <c r="J2" s="112">
        <v>8559.0719487991519</v>
      </c>
      <c r="K2" s="112">
        <v>7202.8533243097254</v>
      </c>
      <c r="L2" s="112">
        <v>1230.1943848737369</v>
      </c>
      <c r="M2" s="112">
        <v>1821.2615645650149</v>
      </c>
      <c r="N2" s="112">
        <v>1455.0182367546513</v>
      </c>
      <c r="O2" s="112">
        <v>4501.0986833107581</v>
      </c>
      <c r="P2" s="112">
        <v>2557.1176361613943</v>
      </c>
      <c r="Q2" s="112">
        <v>1182.1378949342597</v>
      </c>
      <c r="R2" s="112">
        <v>10453.175770581769</v>
      </c>
      <c r="S2" s="112">
        <v>8606.9116432542069</v>
      </c>
      <c r="T2" s="112">
        <v>3341.3427365014122</v>
      </c>
      <c r="U2" s="112">
        <v>3907.0133126404448</v>
      </c>
      <c r="V2" s="113">
        <v>-630.09742024524212</v>
      </c>
      <c r="W2" s="114"/>
      <c r="X2" s="115"/>
      <c r="Y2" s="115">
        <v>8169.8</v>
      </c>
      <c r="Z2" s="115">
        <v>84610.945332961346</v>
      </c>
    </row>
    <row r="3" spans="1:57" s="108" customFormat="1" ht="12" x14ac:dyDescent="0.3">
      <c r="A3" s="109" t="s">
        <v>722</v>
      </c>
      <c r="B3" s="110">
        <v>2018</v>
      </c>
      <c r="C3" s="111">
        <v>511702072</v>
      </c>
      <c r="D3" s="112">
        <v>25358.835665939696</v>
      </c>
      <c r="E3" s="112">
        <v>664.98786107656781</v>
      </c>
      <c r="F3" s="112">
        <v>4892.6407723591728</v>
      </c>
      <c r="G3" s="112">
        <v>195.11520705946273</v>
      </c>
      <c r="H3" s="112">
        <v>658.16371088774974</v>
      </c>
      <c r="I3" s="112">
        <v>3754.0982116980404</v>
      </c>
      <c r="J3" s="112">
        <v>9041.2774283195613</v>
      </c>
      <c r="K3" s="112">
        <v>11539.245515069215</v>
      </c>
      <c r="L3" s="112">
        <v>1443.2810337758951</v>
      </c>
      <c r="M3" s="112">
        <v>1938.6821205020403</v>
      </c>
      <c r="N3" s="112">
        <v>1084.5551290725268</v>
      </c>
      <c r="O3" s="112">
        <v>5002.1699822727987</v>
      </c>
      <c r="P3" s="112">
        <v>2716.8352435492193</v>
      </c>
      <c r="Q3" s="112">
        <v>1381.5414476761766</v>
      </c>
      <c r="R3" s="112">
        <v>10598.33532468402</v>
      </c>
      <c r="S3" s="112">
        <v>9645.8472432477975</v>
      </c>
      <c r="T3" s="112">
        <v>3589.9655999657657</v>
      </c>
      <c r="U3" s="112">
        <v>4314.2770176719587</v>
      </c>
      <c r="V3" s="113">
        <v>-550.57960603181812</v>
      </c>
      <c r="W3" s="114"/>
      <c r="X3" s="115"/>
      <c r="Y3" s="115">
        <v>8169.8</v>
      </c>
      <c r="Z3" s="115">
        <v>97269.274908795851</v>
      </c>
    </row>
    <row r="4" spans="1:57" s="108" customFormat="1" ht="12" x14ac:dyDescent="0.3">
      <c r="A4" s="109" t="s">
        <v>722</v>
      </c>
      <c r="B4" s="110">
        <v>2019</v>
      </c>
      <c r="C4" s="111">
        <v>465939456</v>
      </c>
      <c r="D4" s="116"/>
      <c r="E4" s="116"/>
      <c r="F4" s="116"/>
      <c r="G4" s="116"/>
      <c r="H4" s="116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7">
        <v>987653</v>
      </c>
      <c r="X4" s="115"/>
      <c r="Y4" s="115">
        <v>8169.8</v>
      </c>
      <c r="Z4" s="118">
        <v>108701</v>
      </c>
      <c r="AA4" s="119">
        <v>9494490</v>
      </c>
      <c r="AB4" s="119">
        <v>13707707</v>
      </c>
      <c r="AC4" s="119">
        <v>4019510</v>
      </c>
      <c r="AD4" s="119">
        <v>33000</v>
      </c>
      <c r="AE4" s="119"/>
      <c r="AF4" s="119">
        <v>117900</v>
      </c>
      <c r="AG4" s="119">
        <v>3344830</v>
      </c>
      <c r="AH4" s="119">
        <v>280590</v>
      </c>
      <c r="AI4" s="119">
        <v>15947374</v>
      </c>
      <c r="AJ4" s="119">
        <v>2047361</v>
      </c>
      <c r="AK4" s="119">
        <v>155900</v>
      </c>
      <c r="AL4" s="119">
        <v>234190</v>
      </c>
      <c r="AM4" s="119">
        <v>11854728.449999999</v>
      </c>
      <c r="AN4" s="119">
        <v>8965440.1999999993</v>
      </c>
      <c r="AO4" s="119">
        <v>19876473</v>
      </c>
      <c r="AP4" s="119">
        <v>2005836</v>
      </c>
      <c r="AQ4" s="119">
        <v>2830300</v>
      </c>
      <c r="AR4" s="119">
        <f>110080+8312912</f>
        <v>8422992</v>
      </c>
      <c r="AS4" s="119">
        <v>25196715</v>
      </c>
      <c r="AT4" s="119">
        <v>7069541</v>
      </c>
      <c r="AU4" s="119">
        <v>10755150</v>
      </c>
      <c r="AV4" s="119">
        <v>3692980</v>
      </c>
      <c r="AW4" s="119">
        <v>26768500</v>
      </c>
      <c r="AX4" s="119">
        <v>91776870</v>
      </c>
      <c r="AY4" s="119">
        <v>1356900</v>
      </c>
      <c r="AZ4" s="119">
        <v>4154484</v>
      </c>
      <c r="BA4" s="119">
        <v>1524526</v>
      </c>
      <c r="BB4" s="119">
        <v>7673811</v>
      </c>
      <c r="BC4" s="119"/>
      <c r="BD4" s="119">
        <v>887630</v>
      </c>
      <c r="BE4" s="138">
        <f>SUM(AA4:BD4)</f>
        <v>284195728.64999998</v>
      </c>
    </row>
    <row r="5" spans="1:57" s="108" customFormat="1" ht="12" x14ac:dyDescent="0.3">
      <c r="A5" s="109" t="s">
        <v>722</v>
      </c>
      <c r="B5" s="110">
        <v>2020</v>
      </c>
      <c r="C5" s="111">
        <v>527527341</v>
      </c>
      <c r="D5" s="116">
        <v>31831</v>
      </c>
      <c r="E5" s="116">
        <v>741</v>
      </c>
      <c r="F5" s="116">
        <v>5155</v>
      </c>
      <c r="G5" s="116">
        <v>226</v>
      </c>
      <c r="H5" s="116">
        <v>688</v>
      </c>
      <c r="I5" s="111">
        <v>5170</v>
      </c>
      <c r="J5" s="111">
        <v>10006</v>
      </c>
      <c r="K5" s="111">
        <v>12983</v>
      </c>
      <c r="L5" s="111">
        <v>1123</v>
      </c>
      <c r="M5" s="111">
        <v>2275</v>
      </c>
      <c r="N5" s="111">
        <v>1212</v>
      </c>
      <c r="O5" s="111">
        <v>5646</v>
      </c>
      <c r="P5" s="111">
        <v>2643</v>
      </c>
      <c r="Q5" s="111">
        <v>1314</v>
      </c>
      <c r="R5" s="111">
        <v>12454</v>
      </c>
      <c r="S5" s="111">
        <v>9168</v>
      </c>
      <c r="T5" s="111">
        <v>4025</v>
      </c>
      <c r="U5" s="111">
        <v>4128</v>
      </c>
      <c r="V5" s="111">
        <v>-582</v>
      </c>
      <c r="W5" s="117">
        <v>1007527</v>
      </c>
      <c r="X5" s="115"/>
      <c r="Y5" s="115">
        <v>8169.8</v>
      </c>
      <c r="Z5" s="118">
        <v>110207</v>
      </c>
      <c r="AA5" s="120">
        <v>8723700</v>
      </c>
      <c r="AB5" s="120">
        <v>16790897</v>
      </c>
      <c r="AC5" s="119">
        <v>2196844</v>
      </c>
      <c r="AD5" s="121">
        <v>677600</v>
      </c>
      <c r="AE5" s="120">
        <v>1304001</v>
      </c>
      <c r="AF5" s="121">
        <v>103500</v>
      </c>
      <c r="AG5" s="120">
        <v>9634860</v>
      </c>
      <c r="AH5" s="119">
        <v>234490</v>
      </c>
      <c r="AI5" s="120">
        <v>21046131</v>
      </c>
      <c r="AJ5" s="120">
        <v>1818500</v>
      </c>
      <c r="AK5" s="121">
        <v>249200</v>
      </c>
      <c r="AL5" s="121">
        <v>209940</v>
      </c>
      <c r="AM5" s="120">
        <v>17357340</v>
      </c>
      <c r="AN5" s="119">
        <v>28174179.940000001</v>
      </c>
      <c r="AO5" s="120">
        <v>23709924</v>
      </c>
      <c r="AP5" s="121">
        <v>198900</v>
      </c>
      <c r="AQ5" s="120">
        <v>2781340</v>
      </c>
      <c r="AR5" s="120"/>
      <c r="AS5" s="120">
        <v>25562630</v>
      </c>
      <c r="AT5" s="120">
        <v>6331420</v>
      </c>
      <c r="AU5" s="120">
        <v>13306000</v>
      </c>
      <c r="AV5" s="120">
        <v>4660500</v>
      </c>
      <c r="AW5" s="120">
        <v>38177200</v>
      </c>
      <c r="AX5" s="120">
        <v>126067140</v>
      </c>
      <c r="AY5" s="120">
        <v>1940650</v>
      </c>
      <c r="AZ5" s="120">
        <v>6668753</v>
      </c>
      <c r="BA5" s="120">
        <v>4237650</v>
      </c>
      <c r="BB5" s="120">
        <v>6721495</v>
      </c>
      <c r="BC5" s="121">
        <v>161000</v>
      </c>
      <c r="BD5" s="120">
        <v>1357053</v>
      </c>
      <c r="BE5" s="138">
        <f t="shared" ref="BE5:BE9" si="0">SUM(AA5:BD5)</f>
        <v>370402837.94</v>
      </c>
    </row>
    <row r="6" spans="1:57" s="108" customFormat="1" ht="12" x14ac:dyDescent="0.3">
      <c r="A6" s="109" t="s">
        <v>722</v>
      </c>
      <c r="B6" s="110">
        <v>2021</v>
      </c>
      <c r="C6" s="111">
        <v>749406507</v>
      </c>
      <c r="D6" s="116">
        <v>34376</v>
      </c>
      <c r="E6" s="116">
        <v>885</v>
      </c>
      <c r="F6" s="116">
        <v>5084</v>
      </c>
      <c r="G6" s="116">
        <v>220</v>
      </c>
      <c r="H6" s="116">
        <v>695</v>
      </c>
      <c r="I6" s="111">
        <v>5900</v>
      </c>
      <c r="J6" s="111">
        <v>10975</v>
      </c>
      <c r="K6" s="111">
        <v>16964</v>
      </c>
      <c r="L6" s="111">
        <v>1929</v>
      </c>
      <c r="M6" s="111">
        <v>2376</v>
      </c>
      <c r="N6" s="111">
        <v>1439</v>
      </c>
      <c r="O6" s="111">
        <v>6053</v>
      </c>
      <c r="P6" s="111">
        <v>2970</v>
      </c>
      <c r="Q6" s="111">
        <v>1497</v>
      </c>
      <c r="R6" s="111">
        <v>12339</v>
      </c>
      <c r="S6" s="111">
        <v>11655</v>
      </c>
      <c r="T6" s="111">
        <v>4238</v>
      </c>
      <c r="U6" s="111">
        <v>4630</v>
      </c>
      <c r="V6" s="111">
        <v>-614</v>
      </c>
      <c r="W6" s="117">
        <v>1019118</v>
      </c>
      <c r="X6" s="115"/>
      <c r="Y6" s="115">
        <v>8169.8</v>
      </c>
      <c r="Z6" s="118">
        <v>123610</v>
      </c>
      <c r="AA6" s="122">
        <v>12050690</v>
      </c>
      <c r="AB6" s="122">
        <v>13032577</v>
      </c>
      <c r="AC6" s="122">
        <v>2125655</v>
      </c>
      <c r="AD6" s="122">
        <v>585590</v>
      </c>
      <c r="AE6" s="122">
        <v>1923635</v>
      </c>
      <c r="AF6" s="122">
        <v>204950</v>
      </c>
      <c r="AG6" s="119"/>
      <c r="AH6" s="122">
        <v>54750</v>
      </c>
      <c r="AI6" s="122">
        <v>17042710.350000001</v>
      </c>
      <c r="AJ6" s="122">
        <v>584219</v>
      </c>
      <c r="AK6" s="122">
        <v>442800</v>
      </c>
      <c r="AL6" s="122">
        <v>471450</v>
      </c>
      <c r="AM6" s="122">
        <v>37212400</v>
      </c>
      <c r="AN6" s="122">
        <v>36173135</v>
      </c>
      <c r="AO6" s="122">
        <v>22788801</v>
      </c>
      <c r="AP6" s="122">
        <v>1811000</v>
      </c>
      <c r="AQ6" s="122">
        <v>1924200</v>
      </c>
      <c r="AR6" s="122">
        <v>14684706.449999999</v>
      </c>
      <c r="AS6" s="122">
        <v>22288952</v>
      </c>
      <c r="AT6" s="122">
        <v>6462285</v>
      </c>
      <c r="AU6" s="122">
        <v>19273400</v>
      </c>
      <c r="AV6" s="122">
        <v>4655350</v>
      </c>
      <c r="AW6" s="122">
        <v>33141738</v>
      </c>
      <c r="AX6" s="122">
        <v>129103310</v>
      </c>
      <c r="AY6" s="122">
        <v>781400</v>
      </c>
      <c r="AZ6" s="122">
        <v>7282552</v>
      </c>
      <c r="BA6" s="122">
        <v>3705045</v>
      </c>
      <c r="BB6" s="122">
        <v>7288620</v>
      </c>
      <c r="BC6" s="122">
        <v>669900</v>
      </c>
      <c r="BD6" s="122">
        <v>1490013</v>
      </c>
      <c r="BE6" s="138">
        <f t="shared" si="0"/>
        <v>399255833.79999995</v>
      </c>
    </row>
    <row r="7" spans="1:57" s="108" customFormat="1" ht="12" x14ac:dyDescent="0.3">
      <c r="A7" s="109" t="s">
        <v>722</v>
      </c>
      <c r="B7" s="110">
        <v>2022</v>
      </c>
      <c r="C7" s="111">
        <v>891595987</v>
      </c>
      <c r="D7" s="116">
        <v>33401</v>
      </c>
      <c r="E7" s="116">
        <v>1147</v>
      </c>
      <c r="F7" s="116">
        <v>4950</v>
      </c>
      <c r="G7" s="116">
        <v>204</v>
      </c>
      <c r="H7" s="116">
        <v>732</v>
      </c>
      <c r="I7" s="111">
        <v>6580</v>
      </c>
      <c r="J7" s="111">
        <v>12138</v>
      </c>
      <c r="K7" s="111">
        <v>9868</v>
      </c>
      <c r="L7" s="111">
        <v>2126</v>
      </c>
      <c r="M7" s="111">
        <v>2624</v>
      </c>
      <c r="N7" s="111">
        <v>1688</v>
      </c>
      <c r="O7" s="111">
        <v>6504</v>
      </c>
      <c r="P7" s="111">
        <v>3115</v>
      </c>
      <c r="Q7" s="111">
        <v>1849</v>
      </c>
      <c r="R7" s="111">
        <v>12910</v>
      </c>
      <c r="S7" s="111">
        <v>12117</v>
      </c>
      <c r="T7" s="111">
        <v>4218</v>
      </c>
      <c r="U7" s="111">
        <v>5027</v>
      </c>
      <c r="V7" s="111">
        <v>-660</v>
      </c>
      <c r="W7" s="117">
        <v>1030709</v>
      </c>
      <c r="X7" s="117">
        <v>477878</v>
      </c>
      <c r="Y7" s="115">
        <v>8169.8</v>
      </c>
      <c r="Z7" s="118">
        <v>120539</v>
      </c>
      <c r="AA7" s="123">
        <v>13800222</v>
      </c>
      <c r="AB7" s="123">
        <v>13777120</v>
      </c>
      <c r="AC7" s="123">
        <v>666050</v>
      </c>
      <c r="AD7" s="123">
        <v>340250</v>
      </c>
      <c r="AE7" s="123">
        <v>2639920</v>
      </c>
      <c r="AF7" s="123">
        <v>268890</v>
      </c>
      <c r="AG7" s="123">
        <v>4620900</v>
      </c>
      <c r="AH7" s="123">
        <v>245740</v>
      </c>
      <c r="AI7" s="123">
        <v>15350679.6</v>
      </c>
      <c r="AJ7" s="123">
        <v>1008621</v>
      </c>
      <c r="AK7" s="123">
        <v>829500</v>
      </c>
      <c r="AL7" s="123">
        <v>520000</v>
      </c>
      <c r="AM7" s="123">
        <v>46830100</v>
      </c>
      <c r="AN7" s="123">
        <v>51207000</v>
      </c>
      <c r="AO7" s="123">
        <v>21947089</v>
      </c>
      <c r="AP7" s="123"/>
      <c r="AQ7" s="123">
        <v>2250949</v>
      </c>
      <c r="AR7" s="123">
        <f>3550000+14455145</f>
        <v>18005145</v>
      </c>
      <c r="AS7" s="123">
        <v>23747047</v>
      </c>
      <c r="AT7" s="123">
        <v>22222547.82</v>
      </c>
      <c r="AU7" s="123">
        <v>17874150</v>
      </c>
      <c r="AV7" s="123">
        <v>4437950</v>
      </c>
      <c r="AW7" s="123">
        <v>27721334</v>
      </c>
      <c r="AX7" s="123">
        <v>122089290</v>
      </c>
      <c r="AY7" s="123">
        <v>3211025</v>
      </c>
      <c r="AZ7" s="123">
        <v>6903168</v>
      </c>
      <c r="BA7" s="123">
        <v>3073555</v>
      </c>
      <c r="BB7" s="123">
        <v>8087243</v>
      </c>
      <c r="BC7" s="123">
        <v>1835530</v>
      </c>
      <c r="BD7" s="123">
        <v>1116075</v>
      </c>
      <c r="BE7" s="138">
        <f t="shared" si="0"/>
        <v>436627090.41999996</v>
      </c>
    </row>
    <row r="8" spans="1:57" s="108" customFormat="1" ht="12" x14ac:dyDescent="0.3">
      <c r="A8" s="109" t="s">
        <v>722</v>
      </c>
      <c r="B8" s="110">
        <v>2023</v>
      </c>
      <c r="C8" s="124">
        <v>151124</v>
      </c>
      <c r="D8" s="125">
        <v>39359</v>
      </c>
      <c r="E8" s="108">
        <v>994</v>
      </c>
      <c r="F8" s="125">
        <v>5548</v>
      </c>
      <c r="G8" s="108">
        <v>576</v>
      </c>
      <c r="H8" s="108">
        <v>663</v>
      </c>
      <c r="I8" s="125">
        <v>6943</v>
      </c>
      <c r="J8" s="125">
        <v>13312</v>
      </c>
      <c r="K8" s="125">
        <v>26150</v>
      </c>
      <c r="L8" s="125">
        <v>2753</v>
      </c>
      <c r="M8" s="125">
        <v>2776</v>
      </c>
      <c r="N8" s="125">
        <v>1961</v>
      </c>
      <c r="O8" s="125">
        <v>7080</v>
      </c>
      <c r="P8" s="125">
        <v>3415</v>
      </c>
      <c r="Q8" s="125">
        <v>2191</v>
      </c>
      <c r="R8" s="125">
        <v>15814</v>
      </c>
      <c r="S8" s="125">
        <v>12075</v>
      </c>
      <c r="T8" s="125">
        <v>4928</v>
      </c>
      <c r="U8" s="125">
        <v>5465</v>
      </c>
      <c r="V8" s="108">
        <v>-879</v>
      </c>
      <c r="W8" s="117">
        <v>1042300</v>
      </c>
      <c r="X8" s="115"/>
      <c r="Y8" s="115">
        <v>8169.8</v>
      </c>
      <c r="Z8" s="118"/>
      <c r="AA8" s="123">
        <v>13299477.5</v>
      </c>
      <c r="AB8" s="123">
        <v>16489285</v>
      </c>
      <c r="AC8" s="123">
        <v>831840</v>
      </c>
      <c r="AD8" s="123">
        <v>1660034</v>
      </c>
      <c r="AE8" s="123">
        <v>4123200</v>
      </c>
      <c r="AF8" s="123">
        <v>555900</v>
      </c>
      <c r="AG8" s="123">
        <v>5207800</v>
      </c>
      <c r="AH8" s="123">
        <v>197990</v>
      </c>
      <c r="AI8" s="121">
        <v>19325041</v>
      </c>
      <c r="AJ8" s="123">
        <v>1928387.63</v>
      </c>
      <c r="AK8" s="123">
        <v>2286850</v>
      </c>
      <c r="AL8" s="123">
        <v>536600</v>
      </c>
      <c r="AM8" s="123">
        <v>45208580</v>
      </c>
      <c r="AN8" s="123">
        <v>35932588</v>
      </c>
      <c r="AO8" s="123">
        <v>28690760</v>
      </c>
      <c r="AP8" s="123"/>
      <c r="AQ8" s="123">
        <v>3763503</v>
      </c>
      <c r="AR8" s="123">
        <v>12287045</v>
      </c>
      <c r="AS8" s="123">
        <v>33763080</v>
      </c>
      <c r="AT8" s="123">
        <v>22010415.82</v>
      </c>
      <c r="AU8" s="123">
        <v>38555882</v>
      </c>
      <c r="AV8" s="123">
        <v>5997500</v>
      </c>
      <c r="AW8" s="123">
        <v>30535543</v>
      </c>
      <c r="AX8" s="123">
        <v>136776600</v>
      </c>
      <c r="AY8" s="123">
        <v>7010350</v>
      </c>
      <c r="AZ8" s="123">
        <v>8772825</v>
      </c>
      <c r="BA8" s="123">
        <v>4698305</v>
      </c>
      <c r="BB8" s="123">
        <v>7659978</v>
      </c>
      <c r="BC8" s="123">
        <v>1091055</v>
      </c>
      <c r="BD8" s="123">
        <v>1390380</v>
      </c>
      <c r="BE8" s="138">
        <f t="shared" si="0"/>
        <v>490586794.94999999</v>
      </c>
    </row>
    <row r="9" spans="1:57" x14ac:dyDescent="0.35">
      <c r="AA9" s="130">
        <f>SUM(AA4:AA8)</f>
        <v>57368579.5</v>
      </c>
      <c r="AB9" s="130">
        <f t="shared" ref="AB9:BD9" si="1">SUM(AB4:AB8)</f>
        <v>73797586</v>
      </c>
      <c r="AC9" s="130">
        <f t="shared" si="1"/>
        <v>9839899</v>
      </c>
      <c r="AD9" s="130">
        <f t="shared" si="1"/>
        <v>3296474</v>
      </c>
      <c r="AE9" s="130">
        <f t="shared" si="1"/>
        <v>9990756</v>
      </c>
      <c r="AF9" s="130">
        <f t="shared" si="1"/>
        <v>1251140</v>
      </c>
      <c r="AG9" s="130">
        <f t="shared" si="1"/>
        <v>22808390</v>
      </c>
      <c r="AH9" s="130">
        <f t="shared" si="1"/>
        <v>1013560</v>
      </c>
      <c r="AI9" s="130">
        <f t="shared" si="1"/>
        <v>88711935.950000003</v>
      </c>
      <c r="AJ9" s="130">
        <f t="shared" si="1"/>
        <v>7387088.6299999999</v>
      </c>
      <c r="AK9" s="130">
        <f t="shared" si="1"/>
        <v>3964250</v>
      </c>
      <c r="AL9" s="130">
        <f t="shared" si="1"/>
        <v>1972180</v>
      </c>
      <c r="AM9" s="130">
        <f t="shared" si="1"/>
        <v>158463148.44999999</v>
      </c>
      <c r="AN9" s="130">
        <f t="shared" si="1"/>
        <v>160452343.13999999</v>
      </c>
      <c r="AO9" s="130">
        <f t="shared" si="1"/>
        <v>117013047</v>
      </c>
      <c r="AP9" s="130">
        <f t="shared" si="1"/>
        <v>4015736</v>
      </c>
      <c r="AQ9" s="130">
        <f t="shared" si="1"/>
        <v>13550292</v>
      </c>
      <c r="AR9" s="130">
        <f t="shared" si="1"/>
        <v>53399888.450000003</v>
      </c>
      <c r="AS9" s="130">
        <f t="shared" si="1"/>
        <v>130558424</v>
      </c>
      <c r="AT9" s="130">
        <f t="shared" si="1"/>
        <v>64096209.640000001</v>
      </c>
      <c r="AU9" s="130">
        <f t="shared" si="1"/>
        <v>99764582</v>
      </c>
      <c r="AV9" s="130">
        <f t="shared" si="1"/>
        <v>23444280</v>
      </c>
      <c r="AW9" s="130">
        <f t="shared" si="1"/>
        <v>156344315</v>
      </c>
      <c r="AX9" s="130">
        <f t="shared" si="1"/>
        <v>605813210</v>
      </c>
      <c r="AY9" s="130">
        <f t="shared" si="1"/>
        <v>14300325</v>
      </c>
      <c r="AZ9" s="130">
        <f t="shared" si="1"/>
        <v>33781782</v>
      </c>
      <c r="BA9" s="130">
        <f t="shared" si="1"/>
        <v>17239081</v>
      </c>
      <c r="BB9" s="130">
        <f t="shared" si="1"/>
        <v>37431147</v>
      </c>
      <c r="BC9" s="130">
        <f t="shared" si="1"/>
        <v>3757485</v>
      </c>
      <c r="BD9" s="130">
        <f t="shared" si="1"/>
        <v>6241151</v>
      </c>
      <c r="BE9" s="138">
        <f t="shared" si="0"/>
        <v>1981068285.76</v>
      </c>
    </row>
    <row r="10" spans="1:57" x14ac:dyDescent="0.35">
      <c r="AA10" s="107" t="s">
        <v>747</v>
      </c>
      <c r="AB10" s="107" t="s">
        <v>748</v>
      </c>
      <c r="AC10" s="107" t="s">
        <v>749</v>
      </c>
      <c r="AD10" s="107" t="s">
        <v>750</v>
      </c>
      <c r="AE10" s="107" t="s">
        <v>751</v>
      </c>
      <c r="AF10" s="107" t="s">
        <v>752</v>
      </c>
      <c r="AG10" s="107" t="s">
        <v>490</v>
      </c>
      <c r="AH10" s="107" t="s">
        <v>753</v>
      </c>
      <c r="AI10" s="107" t="s">
        <v>754</v>
      </c>
      <c r="AJ10" s="107" t="s">
        <v>755</v>
      </c>
      <c r="AK10" s="107" t="s">
        <v>756</v>
      </c>
      <c r="AL10" s="107" t="s">
        <v>757</v>
      </c>
      <c r="AM10" s="107" t="s">
        <v>758</v>
      </c>
      <c r="AN10" s="107" t="s">
        <v>759</v>
      </c>
      <c r="AO10" s="107" t="s">
        <v>760</v>
      </c>
      <c r="AP10" s="107" t="s">
        <v>761</v>
      </c>
      <c r="AQ10" s="107" t="s">
        <v>762</v>
      </c>
      <c r="AR10" s="107" t="s">
        <v>763</v>
      </c>
      <c r="AS10" s="107" t="s">
        <v>520</v>
      </c>
      <c r="AT10" s="107" t="s">
        <v>764</v>
      </c>
      <c r="AU10" s="107" t="s">
        <v>765</v>
      </c>
      <c r="AV10" s="107" t="s">
        <v>766</v>
      </c>
      <c r="AW10" s="107" t="s">
        <v>767</v>
      </c>
      <c r="AX10" s="107" t="s">
        <v>768</v>
      </c>
      <c r="AY10" s="107" t="s">
        <v>769</v>
      </c>
      <c r="AZ10" s="107" t="s">
        <v>770</v>
      </c>
      <c r="BA10" s="107" t="s">
        <v>771</v>
      </c>
      <c r="BB10" s="107" t="s">
        <v>772</v>
      </c>
      <c r="BC10" s="107" t="s">
        <v>773</v>
      </c>
      <c r="BD10" s="107" t="s">
        <v>774</v>
      </c>
    </row>
    <row r="11" spans="1:57" x14ac:dyDescent="0.35">
      <c r="A11" s="109" t="s">
        <v>722</v>
      </c>
      <c r="B11" s="110">
        <v>2019</v>
      </c>
      <c r="AA11" s="127">
        <f>AA4/$BE4</f>
        <v>3.3408278319667847E-2</v>
      </c>
      <c r="AB11" s="127">
        <f t="shared" ref="AB11:BD11" si="2">AB4/$BE4</f>
        <v>4.8233332235903051E-2</v>
      </c>
      <c r="AC11" s="127">
        <f t="shared" si="2"/>
        <v>1.4143456761625754E-2</v>
      </c>
      <c r="AD11" s="127">
        <f t="shared" si="2"/>
        <v>1.1611715685087234E-4</v>
      </c>
      <c r="AE11" s="127">
        <f t="shared" si="2"/>
        <v>0</v>
      </c>
      <c r="AF11" s="127">
        <f t="shared" si="2"/>
        <v>4.1485493311266204E-4</v>
      </c>
      <c r="AG11" s="127">
        <f t="shared" si="2"/>
        <v>1.1769459083318282E-2</v>
      </c>
      <c r="AH11" s="127">
        <f t="shared" si="2"/>
        <v>9.8731251638746269E-4</v>
      </c>
      <c r="AI11" s="127">
        <f t="shared" si="2"/>
        <v>5.611405236719768E-2</v>
      </c>
      <c r="AJ11" s="127">
        <f t="shared" si="2"/>
        <v>7.2040526777987527E-3</v>
      </c>
      <c r="AK11" s="127">
        <f t="shared" si="2"/>
        <v>5.4856559857730295E-4</v>
      </c>
      <c r="AL11" s="127">
        <f t="shared" si="2"/>
        <v>8.2404475645169069E-4</v>
      </c>
      <c r="AM11" s="127">
        <f t="shared" si="2"/>
        <v>4.171325341979238E-2</v>
      </c>
      <c r="AN11" s="127">
        <f t="shared" si="2"/>
        <v>3.1546709876985338E-2</v>
      </c>
      <c r="AO11" s="127">
        <f t="shared" si="2"/>
        <v>6.9939379787367542E-2</v>
      </c>
      <c r="AP11" s="127">
        <f t="shared" si="2"/>
        <v>7.0579385887614048E-3</v>
      </c>
      <c r="AQ11" s="127">
        <f t="shared" si="2"/>
        <v>9.958981485909818E-3</v>
      </c>
      <c r="AR11" s="127">
        <f t="shared" si="2"/>
        <v>2.9637996461140695E-2</v>
      </c>
      <c r="AS11" s="127">
        <f t="shared" si="2"/>
        <v>8.865972447823417E-2</v>
      </c>
      <c r="AT11" s="127">
        <f t="shared" si="2"/>
        <v>2.4875606095777967E-2</v>
      </c>
      <c r="AU11" s="127">
        <f t="shared" si="2"/>
        <v>3.7844164833474532E-2</v>
      </c>
      <c r="AV11" s="127">
        <f t="shared" si="2"/>
        <v>1.2994495088094986E-2</v>
      </c>
      <c r="AW11" s="127">
        <f t="shared" si="2"/>
        <v>9.4190367065532604E-2</v>
      </c>
      <c r="AX11" s="127">
        <f t="shared" si="2"/>
        <v>0.32293543057794299</v>
      </c>
      <c r="AY11" s="127">
        <f t="shared" si="2"/>
        <v>4.7745263676045053E-3</v>
      </c>
      <c r="AZ11" s="127">
        <f t="shared" si="2"/>
        <v>1.4618390007952712E-2</v>
      </c>
      <c r="BA11" s="127">
        <f t="shared" si="2"/>
        <v>5.3643522625828185E-3</v>
      </c>
      <c r="BB11" s="127">
        <f t="shared" si="2"/>
        <v>2.7001851985786349E-2</v>
      </c>
      <c r="BC11" s="127">
        <f t="shared" si="2"/>
        <v>0</v>
      </c>
      <c r="BD11" s="127">
        <f t="shared" si="2"/>
        <v>3.123305210167873E-3</v>
      </c>
    </row>
    <row r="12" spans="1:57" x14ac:dyDescent="0.35">
      <c r="A12" s="109" t="s">
        <v>722</v>
      </c>
      <c r="B12" s="110">
        <v>2020</v>
      </c>
      <c r="AA12" s="127">
        <f t="shared" ref="AA12:BD12" si="3">AA5/$BE5</f>
        <v>2.3551925380801524E-2</v>
      </c>
      <c r="AB12" s="127">
        <f t="shared" si="3"/>
        <v>4.5331448034747202E-2</v>
      </c>
      <c r="AC12" s="127">
        <f t="shared" si="3"/>
        <v>5.9309588776851043E-3</v>
      </c>
      <c r="AD12" s="127">
        <f t="shared" si="3"/>
        <v>1.8293596338745158E-3</v>
      </c>
      <c r="AE12" s="127">
        <f t="shared" si="3"/>
        <v>3.5204940849055525E-3</v>
      </c>
      <c r="AF12" s="127">
        <f t="shared" si="3"/>
        <v>2.7942550487900295E-4</v>
      </c>
      <c r="AG12" s="127">
        <f t="shared" si="3"/>
        <v>2.601184173853633E-2</v>
      </c>
      <c r="AH12" s="127">
        <f t="shared" si="3"/>
        <v>6.3306750375920185E-4</v>
      </c>
      <c r="AI12" s="127">
        <f t="shared" si="3"/>
        <v>5.6819572757725936E-2</v>
      </c>
      <c r="AJ12" s="127">
        <f t="shared" si="3"/>
        <v>4.9095196195407418E-3</v>
      </c>
      <c r="AK12" s="127">
        <f t="shared" si="3"/>
        <v>6.7278102237533846E-4</v>
      </c>
      <c r="AL12" s="127">
        <f t="shared" si="3"/>
        <v>5.6678831395456887E-4</v>
      </c>
      <c r="AM12" s="127">
        <f t="shared" si="3"/>
        <v>4.6860710075908335E-2</v>
      </c>
      <c r="AN12" s="127">
        <f t="shared" si="3"/>
        <v>7.60636179158104E-2</v>
      </c>
      <c r="AO12" s="127">
        <f t="shared" si="3"/>
        <v>6.401118342360182E-2</v>
      </c>
      <c r="AP12" s="127">
        <f t="shared" si="3"/>
        <v>5.3698292676747524E-4</v>
      </c>
      <c r="AQ12" s="127">
        <f t="shared" si="3"/>
        <v>7.5089597462817967E-3</v>
      </c>
      <c r="AR12" s="127">
        <f t="shared" si="3"/>
        <v>0</v>
      </c>
      <c r="AS12" s="127">
        <f t="shared" si="3"/>
        <v>6.901305114768258E-2</v>
      </c>
      <c r="AT12" s="127">
        <f t="shared" si="3"/>
        <v>1.7093335556531562E-2</v>
      </c>
      <c r="AU12" s="127">
        <f t="shared" si="3"/>
        <v>3.5923050897777906E-2</v>
      </c>
      <c r="AV12" s="127">
        <f t="shared" si="3"/>
        <v>1.2582247009551625E-2</v>
      </c>
      <c r="AW12" s="127">
        <f t="shared" si="3"/>
        <v>0.10306940468470213</v>
      </c>
      <c r="AX12" s="127">
        <f t="shared" si="3"/>
        <v>0.34035144196282074</v>
      </c>
      <c r="AY12" s="127">
        <f t="shared" si="3"/>
        <v>5.2392957105646086E-3</v>
      </c>
      <c r="AZ12" s="127">
        <f t="shared" si="3"/>
        <v>1.8004054820660535E-2</v>
      </c>
      <c r="BA12" s="127">
        <f t="shared" si="3"/>
        <v>1.144065208454596E-2</v>
      </c>
      <c r="BB12" s="127">
        <f t="shared" si="3"/>
        <v>1.8146445738325544E-2</v>
      </c>
      <c r="BC12" s="127">
        <f t="shared" si="3"/>
        <v>4.3466189647844902E-4</v>
      </c>
      <c r="BD12" s="127">
        <f t="shared" si="3"/>
        <v>3.6637219292035318E-3</v>
      </c>
    </row>
    <row r="13" spans="1:57" x14ac:dyDescent="0.35">
      <c r="A13" s="109" t="s">
        <v>722</v>
      </c>
      <c r="B13" s="110">
        <v>2021</v>
      </c>
      <c r="AA13" s="127">
        <f t="shared" ref="AA13:BD13" si="4">AA6/$BE6</f>
        <v>3.0182877693495588E-2</v>
      </c>
      <c r="AB13" s="127">
        <f t="shared" si="4"/>
        <v>3.2642170499951759E-2</v>
      </c>
      <c r="AC13" s="127">
        <f t="shared" si="4"/>
        <v>5.3240424310614046E-3</v>
      </c>
      <c r="AD13" s="127">
        <f t="shared" si="4"/>
        <v>1.4667036782569365E-3</v>
      </c>
      <c r="AE13" s="127">
        <f t="shared" si="4"/>
        <v>4.8180510769032627E-3</v>
      </c>
      <c r="AF13" s="127">
        <f t="shared" si="4"/>
        <v>5.1333000710182737E-4</v>
      </c>
      <c r="AG13" s="127">
        <f t="shared" si="4"/>
        <v>0</v>
      </c>
      <c r="AH13" s="127">
        <f t="shared" si="4"/>
        <v>1.3713011899890243E-4</v>
      </c>
      <c r="AI13" s="127">
        <f t="shared" si="4"/>
        <v>4.2686189924371253E-2</v>
      </c>
      <c r="AJ13" s="127">
        <f t="shared" si="4"/>
        <v>1.4632697897976215E-3</v>
      </c>
      <c r="AK13" s="127">
        <f t="shared" si="4"/>
        <v>1.1090633185883833E-3</v>
      </c>
      <c r="AL13" s="127">
        <f t="shared" si="4"/>
        <v>1.1808218192152064E-3</v>
      </c>
      <c r="AM13" s="127">
        <f t="shared" si="4"/>
        <v>9.3204398908397379E-2</v>
      </c>
      <c r="AN13" s="127">
        <f t="shared" si="4"/>
        <v>9.0601393737230362E-2</v>
      </c>
      <c r="AO13" s="127">
        <f t="shared" si="4"/>
        <v>5.7078191652462217E-2</v>
      </c>
      <c r="AP13" s="127">
        <f t="shared" si="4"/>
        <v>4.5359387307216852E-3</v>
      </c>
      <c r="AQ13" s="127">
        <f t="shared" si="4"/>
        <v>4.8194662096381373E-3</v>
      </c>
      <c r="AR13" s="127">
        <f t="shared" si="4"/>
        <v>3.6780192565341548E-2</v>
      </c>
      <c r="AS13" s="127">
        <f t="shared" si="4"/>
        <v>5.5826240002206831E-2</v>
      </c>
      <c r="AT13" s="127">
        <f t="shared" si="4"/>
        <v>1.6185824859448805E-2</v>
      </c>
      <c r="AU13" s="127">
        <f t="shared" si="4"/>
        <v>4.8273308411204488E-2</v>
      </c>
      <c r="AV13" s="127">
        <f t="shared" si="4"/>
        <v>1.1660067570439093E-2</v>
      </c>
      <c r="AW13" s="127">
        <f t="shared" si="4"/>
        <v>8.3008775813158839E-2</v>
      </c>
      <c r="AX13" s="127">
        <f t="shared" si="4"/>
        <v>0.32335985869319067</v>
      </c>
      <c r="AY13" s="127">
        <f t="shared" si="4"/>
        <v>1.9571410956299973E-3</v>
      </c>
      <c r="AZ13" s="127">
        <f t="shared" si="4"/>
        <v>1.8240314563939632E-2</v>
      </c>
      <c r="BA13" s="127">
        <f t="shared" si="4"/>
        <v>9.279876926872847E-3</v>
      </c>
      <c r="BB13" s="127">
        <f t="shared" si="4"/>
        <v>1.8255512839046212E-2</v>
      </c>
      <c r="BC13" s="127">
        <f t="shared" si="4"/>
        <v>1.6778715382167074E-3</v>
      </c>
      <c r="BD13" s="127">
        <f t="shared" si="4"/>
        <v>3.7319755251125405E-3</v>
      </c>
    </row>
    <row r="14" spans="1:57" x14ac:dyDescent="0.35">
      <c r="A14" s="109" t="s">
        <v>722</v>
      </c>
      <c r="B14" s="110">
        <v>2022</v>
      </c>
      <c r="AA14" s="127">
        <f t="shared" ref="AA14:BD14" si="5">AA7/$BE7</f>
        <v>3.160642640548323E-2</v>
      </c>
      <c r="AB14" s="127">
        <f t="shared" si="5"/>
        <v>3.1553516266586951E-2</v>
      </c>
      <c r="AC14" s="127">
        <f t="shared" si="5"/>
        <v>1.5254435984705249E-3</v>
      </c>
      <c r="AD14" s="127">
        <f t="shared" si="5"/>
        <v>7.7926910048734498E-4</v>
      </c>
      <c r="AE14" s="127">
        <f t="shared" si="5"/>
        <v>6.0461663005394609E-3</v>
      </c>
      <c r="AF14" s="127">
        <f t="shared" si="5"/>
        <v>6.1583444064670738E-4</v>
      </c>
      <c r="AG14" s="127">
        <f t="shared" si="5"/>
        <v>1.0583172921210793E-2</v>
      </c>
      <c r="AH14" s="127">
        <f t="shared" si="5"/>
        <v>5.6281436812273371E-4</v>
      </c>
      <c r="AI14" s="127">
        <f t="shared" si="5"/>
        <v>3.5157414500400989E-2</v>
      </c>
      <c r="AJ14" s="127">
        <f t="shared" si="5"/>
        <v>2.3100284479137291E-3</v>
      </c>
      <c r="AK14" s="127">
        <f t="shared" si="5"/>
        <v>1.8997905036127925E-3</v>
      </c>
      <c r="AL14" s="127">
        <f t="shared" si="5"/>
        <v>1.1909476333678748E-3</v>
      </c>
      <c r="AM14" s="127">
        <f t="shared" si="5"/>
        <v>0.10725422454880944</v>
      </c>
      <c r="AN14" s="127">
        <f t="shared" si="5"/>
        <v>0.11727856819590146</v>
      </c>
      <c r="AO14" s="127">
        <f t="shared" si="5"/>
        <v>5.02650648151233E-2</v>
      </c>
      <c r="AP14" s="127">
        <f t="shared" si="5"/>
        <v>0</v>
      </c>
      <c r="AQ14" s="127">
        <f t="shared" si="5"/>
        <v>5.1553122776572778E-3</v>
      </c>
      <c r="AR14" s="127">
        <f t="shared" si="5"/>
        <v>4.123689389652966E-2</v>
      </c>
      <c r="AS14" s="127">
        <f t="shared" si="5"/>
        <v>5.4387479661780175E-2</v>
      </c>
      <c r="AT14" s="127">
        <f t="shared" si="5"/>
        <v>5.0895943718525814E-2</v>
      </c>
      <c r="AU14" s="127">
        <f t="shared" si="5"/>
        <v>4.0936878155696917E-2</v>
      </c>
      <c r="AV14" s="127">
        <f t="shared" si="5"/>
        <v>1.016416547981723E-2</v>
      </c>
      <c r="AW14" s="127">
        <f t="shared" si="5"/>
        <v>6.3489725232885388E-2</v>
      </c>
      <c r="AX14" s="127">
        <f t="shared" si="5"/>
        <v>0.27961913650973874</v>
      </c>
      <c r="AY14" s="127">
        <f t="shared" si="5"/>
        <v>7.3541588931443844E-3</v>
      </c>
      <c r="AZ14" s="127">
        <f t="shared" si="5"/>
        <v>1.5810214600655473E-2</v>
      </c>
      <c r="BA14" s="127">
        <f t="shared" si="5"/>
        <v>7.0393135639923044E-3</v>
      </c>
      <c r="BB14" s="127">
        <f t="shared" si="5"/>
        <v>1.8522082521770983E-2</v>
      </c>
      <c r="BC14" s="127">
        <f t="shared" si="5"/>
        <v>4.2038848259148753E-3</v>
      </c>
      <c r="BD14" s="127">
        <f t="shared" si="5"/>
        <v>2.5561286152135593E-3</v>
      </c>
    </row>
    <row r="15" spans="1:57" x14ac:dyDescent="0.35">
      <c r="A15" s="109" t="s">
        <v>722</v>
      </c>
      <c r="B15" s="110">
        <v>2023</v>
      </c>
      <c r="AA15" s="127">
        <f t="shared" ref="AA15:BD15" si="6">AA8/$BE8</f>
        <v>2.7109326294352188E-2</v>
      </c>
      <c r="AB15" s="127">
        <f t="shared" si="6"/>
        <v>3.3611351079436552E-2</v>
      </c>
      <c r="AC15" s="127">
        <f t="shared" si="6"/>
        <v>1.6956021005106346E-3</v>
      </c>
      <c r="AD15" s="127">
        <f t="shared" si="6"/>
        <v>3.3837722847170982E-3</v>
      </c>
      <c r="AE15" s="127">
        <f t="shared" si="6"/>
        <v>8.4046289921444611E-3</v>
      </c>
      <c r="AF15" s="127">
        <f t="shared" si="6"/>
        <v>1.1331328232278585E-3</v>
      </c>
      <c r="AG15" s="127">
        <f t="shared" si="6"/>
        <v>1.0615450830735819E-2</v>
      </c>
      <c r="AH15" s="127">
        <f t="shared" si="6"/>
        <v>4.0357792349502374E-4</v>
      </c>
      <c r="AI15" s="127">
        <f t="shared" si="6"/>
        <v>3.9391686035841193E-2</v>
      </c>
      <c r="AJ15" s="127">
        <f t="shared" si="6"/>
        <v>3.9307776928576704E-3</v>
      </c>
      <c r="AK15" s="127">
        <f t="shared" si="6"/>
        <v>4.6614585299489626E-3</v>
      </c>
      <c r="AL15" s="127">
        <f t="shared" si="6"/>
        <v>1.0937921801476324E-3</v>
      </c>
      <c r="AM15" s="127">
        <f t="shared" si="6"/>
        <v>9.2152052328696707E-2</v>
      </c>
      <c r="AN15" s="127">
        <f t="shared" si="6"/>
        <v>7.3244099453720943E-2</v>
      </c>
      <c r="AO15" s="127">
        <f t="shared" si="6"/>
        <v>5.8482536210384808E-2</v>
      </c>
      <c r="AP15" s="127">
        <f t="shared" si="6"/>
        <v>0</v>
      </c>
      <c r="AQ15" s="127">
        <f t="shared" si="6"/>
        <v>7.6714315157699496E-3</v>
      </c>
      <c r="AR15" s="127">
        <f t="shared" si="6"/>
        <v>2.5045608904439184E-2</v>
      </c>
      <c r="AS15" s="127">
        <f t="shared" si="6"/>
        <v>6.8821827956949175E-2</v>
      </c>
      <c r="AT15" s="127">
        <f t="shared" si="6"/>
        <v>4.486548771098349E-2</v>
      </c>
      <c r="AU15" s="127">
        <f t="shared" si="6"/>
        <v>7.8591357119446245E-2</v>
      </c>
      <c r="AV15" s="127">
        <f t="shared" si="6"/>
        <v>1.2225155796562477E-2</v>
      </c>
      <c r="AW15" s="127">
        <f t="shared" si="6"/>
        <v>6.2242896291393547E-2</v>
      </c>
      <c r="AX15" s="127">
        <f t="shared" si="6"/>
        <v>0.27880204157133931</v>
      </c>
      <c r="AY15" s="127">
        <f t="shared" si="6"/>
        <v>1.4289724208158694E-2</v>
      </c>
      <c r="AZ15" s="127">
        <f t="shared" si="6"/>
        <v>1.7882309695869649E-2</v>
      </c>
      <c r="BA15" s="127">
        <f t="shared" si="6"/>
        <v>9.5769088128000793E-3</v>
      </c>
      <c r="BB15" s="127">
        <f t="shared" si="6"/>
        <v>1.5613909870486211E-2</v>
      </c>
      <c r="BC15" s="127">
        <f t="shared" si="6"/>
        <v>2.2239795510826969E-3</v>
      </c>
      <c r="BD15" s="127">
        <f t="shared" si="6"/>
        <v>2.8341162345017989E-3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Panel Data_OSR Stream_Activity</vt:lpstr>
      <vt:lpstr>shares</vt:lpstr>
      <vt:lpstr>Baringo</vt:lpstr>
      <vt:lpstr>Kajiado</vt:lpstr>
      <vt:lpstr>West Pokot</vt:lpstr>
      <vt:lpstr>Taita Taveta</vt:lpstr>
      <vt:lpstr>Makueni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MOKAYA OMWENGA</dc:creator>
  <cp:lastModifiedBy>cyrus mutuku</cp:lastModifiedBy>
  <dcterms:created xsi:type="dcterms:W3CDTF">2025-12-04T08:13:33Z</dcterms:created>
  <dcterms:modified xsi:type="dcterms:W3CDTF">2026-03-22T11:59:50Z</dcterms:modified>
</cp:coreProperties>
</file>